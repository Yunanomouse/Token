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Tax Data 2026" sheetId="2" state="visible" r:id="rId2"/>
    <sheet name="Tax Calc" sheetId="3" state="visible" r:id="rId3"/>
    <sheet name="All Income Brackets" sheetId="4" state="visible" r:id="rId4"/>
    <sheet name="Sales Tax" sheetId="5" state="visible" r:id="rId5"/>
    <sheet name="Payroll CPP EI" sheetId="6" state="visible" r:id="rId6"/>
    <sheet name="Corporate Tax" sheetId="7" state="visible" r:id="rId7"/>
    <sheet name="Credits &amp; Limi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$#,##0;($#,##0);&quot;-&quot;"/>
    <numFmt numFmtId="166" formatCode="$#,##0.00;($#,##0.00);&quot;-&quot;"/>
    <numFmt numFmtId="167" formatCode="0.000%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color rgb="00008000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top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3" fontId="5" fillId="2" borderId="0" pivotButton="0" quotePrefix="0" xfId="0"/>
    <xf numFmtId="0" fontId="2" fillId="0" borderId="0" applyAlignment="1" pivotButton="0" quotePrefix="0" xfId="0">
      <alignment vertical="top" wrapText="1"/>
    </xf>
    <xf numFmtId="164" fontId="5" fillId="2" borderId="0" pivotButton="0" quotePrefix="0" xfId="0"/>
    <xf numFmtId="0" fontId="6" fillId="3" borderId="0" pivotButton="0" quotePrefix="0" xfId="0"/>
    <xf numFmtId="165" fontId="4" fillId="0" borderId="0" pivotButton="0" quotePrefix="0" xfId="0"/>
    <xf numFmtId="164" fontId="4" fillId="0" borderId="0" pivotButton="0" quotePrefix="0" xfId="0"/>
    <xf numFmtId="0" fontId="3" fillId="4" borderId="0" pivotButton="0" quotePrefix="0" xfId="0"/>
    <xf numFmtId="0" fontId="0" fillId="4" borderId="0" pivotButton="0" quotePrefix="0" xfId="0"/>
    <xf numFmtId="0" fontId="5" fillId="0" borderId="0" pivotButton="0" quotePrefix="0" xfId="0"/>
    <xf numFmtId="165" fontId="5" fillId="2" borderId="0" pivotButton="0" quotePrefix="0" xfId="0"/>
    <xf numFmtId="0" fontId="7" fillId="0" borderId="0" pivotButton="0" quotePrefix="0" xfId="0"/>
    <xf numFmtId="165" fontId="7" fillId="0" borderId="0" pivotButton="0" quotePrefix="0" xfId="0"/>
    <xf numFmtId="165" fontId="3" fillId="0" borderId="0" pivotButton="0" quotePrefix="0" xfId="0"/>
    <xf numFmtId="166" fontId="7" fillId="0" borderId="0" pivotButton="0" quotePrefix="0" xfId="0"/>
    <xf numFmtId="166" fontId="4" fillId="0" borderId="0" pivotButton="0" quotePrefix="0" xfId="0"/>
    <xf numFmtId="166" fontId="3" fillId="0" borderId="1" pivotButton="0" quotePrefix="0" xfId="0"/>
    <xf numFmtId="166" fontId="3" fillId="0" borderId="0" pivotButton="0" quotePrefix="0" xfId="0"/>
    <xf numFmtId="164" fontId="3" fillId="0" borderId="0" pivotButton="0" quotePrefix="0" xfId="0"/>
    <xf numFmtId="10" fontId="4" fillId="0" borderId="0" pivotButton="0" quotePrefix="0" xfId="0"/>
    <xf numFmtId="167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Claude</author>
  </authors>
  <commentList>
    <comment ref="B10" authorId="0" shapeId="0">
      <text>
        <t>No upper bound; 1,000,000,000 used so MIN() formulas work.</t>
      </text>
    </comment>
    <comment ref="B19" authorId="0" shapeId="0">
      <text>
        <t>No upper bound; 1,000,000,000 used so MIN() formulas work.</t>
      </text>
    </comment>
  </commentList>
</comments>
</file>

<file path=xl/comments/comment2.xml><?xml version="1.0" encoding="utf-8"?>
<comments xmlns="http://schemas.openxmlformats.org/spreadsheetml/2006/main">
  <authors>
    <author>Claude</author>
  </authors>
  <commentList>
    <comment ref="C7" authorId="0" shapeId="0">
      <text>
        <t>Value provided by you (under $10,000; modelled at $10,000). Edit C7/D7/E7 freely; B7 stays 0 as the salary-only reference.</t>
      </text>
    </comment>
    <comment ref="B8" authorId="0" shapeId="0">
      <text>
        <t>Rent x 12 x office share, capped at trading profit — business-use-of-home expenses cannot create a loss (unused amounts carry forward; carryforward not modelled).</t>
      </text>
    </comment>
    <comment ref="C17" authorId="0" shapeId="0">
      <text>
        <t>11.9% (both halves) on trading income. Applies from dollar one: the $3,500 exemption is already used against your salary.</t>
      </text>
    </comment>
    <comment ref="E18" authorId="0" shapeId="0">
      <text>
        <t>8% on earnings between the YMPE ($74,600) and YAMPE ($85,000). Only the $50k what-if reaches this band.</t>
      </text>
    </comment>
    <comment ref="B21" authorId="0" shapeId="0">
      <text>
        <t>Simplification: the T1 deducts the employer half plus enhanced portions of self-employed CPP; 50% of the total is within ~$50 of the exact figure at these incomes.</t>
      </text>
    </comment>
    <comment ref="B31" authorId="0" shapeId="0">
      <text>
        <t>14% x (BPA + Canada employment amount + employee CPP + EI + employee half of self-employed CPP). Simplification: the enhanced-CPP slice is deductible rather than creditable on a real T1 — difference under $30 here. Federal BPA phase-out not modelled (starts at $181,440).</t>
      </text>
    </comment>
    <comment ref="C51" authorId="0" shapeId="0">
      <text>
        <t>Extra tax + CPP caused by the trading income — this is roughly your balance due at filing, since employer withholding covers the salary-only column.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62" customWidth="1" min="3" max="3"/>
  </cols>
  <sheetData>
    <row r="1">
      <c r="A1" s="1" t="inlineStr">
        <is>
          <t>2026 Tax Outline — Inputs</t>
        </is>
      </c>
    </row>
    <row r="2">
      <c r="A2" s="2" t="inlineStr">
        <is>
          <t>Alberta resident · employee salary + self-employed trading (business income)</t>
        </is>
      </c>
    </row>
    <row r="3">
      <c r="A3" s="3" t="inlineStr">
        <is>
          <t>Edit the yellow cells:</t>
        </is>
      </c>
    </row>
    <row r="4">
      <c r="A4" s="4" t="inlineStr">
        <is>
          <t>Hourly wage ($/hr)</t>
        </is>
      </c>
      <c r="B4" s="5" t="n">
        <v>22</v>
      </c>
      <c r="C4" s="6" t="inlineStr">
        <is>
          <t>Your full-time job wage. Value provided by you.</t>
        </is>
      </c>
    </row>
    <row r="5">
      <c r="A5" s="4" t="inlineStr">
        <is>
          <t>Hours per week</t>
        </is>
      </c>
      <c r="B5" s="5" t="n">
        <v>40</v>
      </c>
      <c r="C5" s="6" t="inlineStr">
        <is>
          <t>Assumed full-time. Edit if different.</t>
        </is>
      </c>
    </row>
    <row r="6">
      <c r="A6" s="4" t="inlineStr">
        <is>
          <t>Weeks paid per year</t>
        </is>
      </c>
      <c r="B6" s="5" t="n">
        <v>52</v>
      </c>
      <c r="C6" s="6" t="inlineStr">
        <is>
          <t>Assumed paid 52 weeks. Edit if different.</t>
        </is>
      </c>
    </row>
    <row r="7">
      <c r="A7" s="4" t="inlineStr">
        <is>
          <t>Monthly rent ($)</t>
        </is>
      </c>
      <c r="B7" s="5" t="n">
        <v>1375</v>
      </c>
      <c r="C7" s="6" t="inlineStr">
        <is>
          <t>Value provided by you. Used only for the home-office deduction.</t>
        </is>
      </c>
    </row>
    <row r="8">
      <c r="A8" s="4" t="inlineStr">
        <is>
          <t>Home office share of rent</t>
        </is>
      </c>
      <c r="B8" s="7" t="n">
        <v>0.15</v>
      </c>
      <c r="C8" s="6" t="inlineStr">
        <is>
          <t>Assumption: 15% of the home used principally for trading. Set to your actual workspace %; CRA expects a reasonable, documented figure.</t>
        </is>
      </c>
    </row>
    <row r="9">
      <c r="A9" s="4" t="inlineStr">
        <is>
          <t>Other annual trading expenses ($)</t>
        </is>
      </c>
      <c r="B9" s="5" t="n">
        <v>0</v>
      </c>
      <c r="C9" s="6" t="inlineStr">
        <is>
          <t>Data feeds, platform fees, hardware, etc. Deductible against trading profit.</t>
        </is>
      </c>
    </row>
    <row r="11">
      <c r="A11" s="3" t="inlineStr">
        <is>
          <t>Legend</t>
        </is>
      </c>
    </row>
    <row r="12">
      <c r="A12" s="4" t="inlineStr">
        <is>
          <t>Blue text on yellow</t>
        </is>
      </c>
      <c r="C12" s="2" t="inlineStr">
        <is>
          <t>Input — edit these (here and the trading-profit row on 'Tax Calc').</t>
        </is>
      </c>
    </row>
    <row r="13">
      <c r="A13" s="4" t="inlineStr">
        <is>
          <t>Black text</t>
        </is>
      </c>
      <c r="C13" s="2" t="inlineStr">
        <is>
          <t>Formula — leave alone; recalculates from inputs.</t>
        </is>
      </c>
    </row>
    <row r="14">
      <c r="A14" s="4" t="inlineStr">
        <is>
          <t>Green text</t>
        </is>
      </c>
      <c r="C14" s="2" t="inlineStr">
        <is>
          <t>Value pulled from another sheet.</t>
        </is>
      </c>
    </row>
    <row r="16">
      <c r="A16" s="2" t="inlineStr">
        <is>
          <t>Example: at $22/hr, 40 hrs, 52 weeks, the salary computes to $45,760 on the Tax Calc sheet.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66" customWidth="1" min="5" max="5"/>
  </cols>
  <sheetData>
    <row r="1">
      <c r="A1" s="1" t="inlineStr">
        <is>
          <t>2026 Tax Parameters (Canada + Alberta)</t>
        </is>
      </c>
    </row>
    <row r="2">
      <c r="A2" s="2" t="inlineStr">
        <is>
          <t>Source: data/json/*.json in this repository (CRA/provincial figures, collected 2026-08-18 — see README.md for provenance).</t>
        </is>
      </c>
    </row>
    <row r="4">
      <c r="A4" s="3" t="inlineStr">
        <is>
          <t>Federal brackets</t>
        </is>
      </c>
    </row>
    <row r="5">
      <c r="A5" s="8" t="inlineStr">
        <is>
          <t>From</t>
        </is>
      </c>
      <c r="B5" s="8" t="inlineStr">
        <is>
          <t>To</t>
        </is>
      </c>
      <c r="C5" s="8" t="inlineStr">
        <is>
          <t>Rate</t>
        </is>
      </c>
    </row>
    <row r="6">
      <c r="A6" s="9" t="n">
        <v>0</v>
      </c>
      <c r="B6" s="9" t="n">
        <v>58523</v>
      </c>
      <c r="C6" s="10" t="n">
        <v>0.14</v>
      </c>
    </row>
    <row r="7">
      <c r="A7" s="9" t="n">
        <v>58523</v>
      </c>
      <c r="B7" s="9" t="n">
        <v>117045</v>
      </c>
      <c r="C7" s="10" t="n">
        <v>0.205</v>
      </c>
    </row>
    <row r="8">
      <c r="A8" s="9" t="n">
        <v>117045</v>
      </c>
      <c r="B8" s="9" t="n">
        <v>181440</v>
      </c>
      <c r="C8" s="10" t="n">
        <v>0.26</v>
      </c>
    </row>
    <row r="9">
      <c r="A9" s="9" t="n">
        <v>181440</v>
      </c>
      <c r="B9" s="9" t="n">
        <v>258482</v>
      </c>
      <c r="C9" s="10" t="n">
        <v>0.29</v>
      </c>
    </row>
    <row r="10">
      <c r="A10" s="9" t="n">
        <v>258482</v>
      </c>
      <c r="B10" s="9" t="n">
        <v>1000000000</v>
      </c>
      <c r="C10" s="10" t="n">
        <v>0.33</v>
      </c>
    </row>
    <row r="12">
      <c r="A12" s="3" t="inlineStr">
        <is>
          <t>Alberta brackets</t>
        </is>
      </c>
    </row>
    <row r="13">
      <c r="A13" s="8" t="inlineStr">
        <is>
          <t>From</t>
        </is>
      </c>
      <c r="B13" s="8" t="inlineStr">
        <is>
          <t>To</t>
        </is>
      </c>
      <c r="C13" s="8" t="inlineStr">
        <is>
          <t>Rate</t>
        </is>
      </c>
    </row>
    <row r="14">
      <c r="A14" s="9" t="n">
        <v>0</v>
      </c>
      <c r="B14" s="9" t="n">
        <v>61200</v>
      </c>
      <c r="C14" s="10" t="n">
        <v>0.08</v>
      </c>
    </row>
    <row r="15">
      <c r="A15" s="9" t="n">
        <v>61200</v>
      </c>
      <c r="B15" s="9" t="n">
        <v>151234</v>
      </c>
      <c r="C15" s="10" t="n">
        <v>0.1</v>
      </c>
    </row>
    <row r="16">
      <c r="A16" s="9" t="n">
        <v>151234</v>
      </c>
      <c r="B16" s="9" t="n">
        <v>181480</v>
      </c>
      <c r="C16" s="10" t="n">
        <v>0.12</v>
      </c>
    </row>
    <row r="17">
      <c r="A17" s="9" t="n">
        <v>181480</v>
      </c>
      <c r="B17" s="9" t="n">
        <v>241975</v>
      </c>
      <c r="C17" s="10" t="n">
        <v>0.13</v>
      </c>
    </row>
    <row r="18">
      <c r="A18" s="9" t="n">
        <v>241975</v>
      </c>
      <c r="B18" s="9" t="n">
        <v>362962</v>
      </c>
      <c r="C18" s="10" t="n">
        <v>0.14</v>
      </c>
    </row>
    <row r="19">
      <c r="A19" s="9" t="n">
        <v>362962</v>
      </c>
      <c r="B19" s="9" t="n">
        <v>1000000000</v>
      </c>
      <c r="C19" s="10" t="n">
        <v>0.15</v>
      </c>
    </row>
    <row r="21">
      <c r="A21" s="3" t="inlineStr">
        <is>
          <t>Other parameters</t>
        </is>
      </c>
    </row>
    <row r="22">
      <c r="A22" s="4" t="inlineStr">
        <is>
          <t>Federal basic personal amount</t>
        </is>
      </c>
      <c r="B22" s="9" t="n">
        <v>16452</v>
      </c>
      <c r="E22" s="6" t="inlineStr">
        <is>
          <t>Maximum BPA; the phase-out starts at $181,440 net income — far above this model's incomes, so not modelled.</t>
        </is>
      </c>
    </row>
    <row r="23">
      <c r="A23" s="4" t="inlineStr">
        <is>
          <t>Alberta basic personal amount</t>
        </is>
      </c>
      <c r="B23" s="9" t="n">
        <v>22769</v>
      </c>
    </row>
    <row r="24">
      <c r="A24" s="4" t="inlineStr">
        <is>
          <t>Canada employment amount</t>
        </is>
      </c>
      <c r="B24" s="9" t="n">
        <v>1500</v>
      </c>
      <c r="E24" s="6" t="inlineStr">
        <is>
          <t>Estimate: 2025 amount $1,471 x 1.02 federal indexation, rounded. Federal credit base for employees.</t>
        </is>
      </c>
    </row>
    <row r="25">
      <c r="A25" s="4" t="inlineStr">
        <is>
          <t>CPP YMPE</t>
        </is>
      </c>
      <c r="B25" s="9" t="n">
        <v>74600</v>
      </c>
    </row>
    <row r="26">
      <c r="A26" s="4" t="inlineStr">
        <is>
          <t>CPP basic exemption</t>
        </is>
      </c>
      <c r="B26" s="9" t="n">
        <v>3500</v>
      </c>
    </row>
    <row r="27">
      <c r="A27" s="4" t="inlineStr">
        <is>
          <t>CPP employee rate</t>
        </is>
      </c>
      <c r="B27" s="10" t="n">
        <v>0.0595</v>
      </c>
    </row>
    <row r="28">
      <c r="A28" s="4" t="inlineStr">
        <is>
          <t>CPP self-employed rate</t>
        </is>
      </c>
      <c r="B28" s="10" t="n">
        <v>0.119</v>
      </c>
    </row>
    <row r="29">
      <c r="A29" s="4" t="inlineStr">
        <is>
          <t>CPP2 YAMPE</t>
        </is>
      </c>
      <c r="B29" s="9" t="n">
        <v>85000</v>
      </c>
    </row>
    <row r="30">
      <c r="A30" s="4" t="inlineStr">
        <is>
          <t>CPP2 self-employed rate</t>
        </is>
      </c>
      <c r="B30" s="10" t="n">
        <v>0.08</v>
      </c>
    </row>
    <row r="31">
      <c r="A31" s="4" t="inlineStr">
        <is>
          <t>EI max insurable earnings</t>
        </is>
      </c>
      <c r="B31" s="9" t="n">
        <v>68900</v>
      </c>
    </row>
    <row r="32">
      <c r="A32" s="4" t="inlineStr">
        <is>
          <t>EI employee rate</t>
        </is>
      </c>
      <c r="B32" s="10" t="n">
        <v>0.0163</v>
      </c>
      <c r="E32" s="6" t="inlineStr">
        <is>
          <t>No EI is payable (or claimable) on self-employment income unless you opt in.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60" customWidth="1" min="7" max="7"/>
  </cols>
  <sheetData>
    <row r="1">
      <c r="A1" s="1" t="inlineStr">
        <is>
          <t>2026 Tax Calculation — Salary + Scalp Trading (Alberta)</t>
        </is>
      </c>
    </row>
    <row r="2">
      <c r="A2" s="2" t="inlineStr">
        <is>
          <t>Column B is your salary with no trading (reference). C is your situation; D and E are what-if profit levels — all three yellow cells are editable.</t>
        </is>
      </c>
    </row>
    <row r="4">
      <c r="A4" s="8" t="inlineStr"/>
      <c r="B4" s="8" t="inlineStr">
        <is>
          <t>Salary only</t>
        </is>
      </c>
      <c r="C4" s="8" t="inlineStr">
        <is>
          <t>Your case</t>
        </is>
      </c>
      <c r="D4" s="8" t="inlineStr">
        <is>
          <t>What-if</t>
        </is>
      </c>
      <c r="E4" s="8" t="inlineStr">
        <is>
          <t>What-if</t>
        </is>
      </c>
    </row>
    <row r="6">
      <c r="A6" s="11" t="inlineStr">
        <is>
          <t>INCOME</t>
        </is>
      </c>
      <c r="B6" s="12" t="n"/>
      <c r="C6" s="12" t="n"/>
      <c r="D6" s="12" t="n"/>
      <c r="E6" s="12" t="n"/>
    </row>
    <row r="7">
      <c r="A7" s="13" t="inlineStr">
        <is>
          <t>Trading profit (gross)</t>
        </is>
      </c>
      <c r="B7" s="9" t="n">
        <v>0</v>
      </c>
      <c r="C7" s="14" t="n">
        <v>10000</v>
      </c>
      <c r="D7" s="14" t="n">
        <v>25000</v>
      </c>
      <c r="E7" s="14" t="n">
        <v>50000</v>
      </c>
    </row>
    <row r="8">
      <c r="A8" s="15" t="inlineStr">
        <is>
          <t>Home office deduction</t>
        </is>
      </c>
      <c r="B8" s="16">
        <f>-MIN(Inputs!$B$7*12*Inputs!$B$8,B7)</f>
        <v/>
      </c>
      <c r="C8" s="16">
        <f>-MIN(Inputs!$B$7*12*Inputs!$B$8,C7)</f>
        <v/>
      </c>
      <c r="D8" s="16">
        <f>-MIN(Inputs!$B$7*12*Inputs!$B$8,D7)</f>
        <v/>
      </c>
      <c r="E8" s="16">
        <f>-MIN(Inputs!$B$7*12*Inputs!$B$8,E7)</f>
        <v/>
      </c>
    </row>
    <row r="9">
      <c r="A9" s="15" t="inlineStr">
        <is>
          <t>Other trading expenses</t>
        </is>
      </c>
      <c r="B9" s="16">
        <f>-MIN(Inputs!$B$9,B7+B8)</f>
        <v/>
      </c>
      <c r="C9" s="16">
        <f>-MIN(Inputs!$B$9,C7+C8)</f>
        <v/>
      </c>
      <c r="D9" s="16">
        <f>-MIN(Inputs!$B$9,D7+D8)</f>
        <v/>
      </c>
      <c r="E9" s="16">
        <f>-MIN(Inputs!$B$9,E7+E8)</f>
        <v/>
      </c>
    </row>
    <row r="10">
      <c r="A10" s="3" t="inlineStr">
        <is>
          <t>Net trading income</t>
        </is>
      </c>
      <c r="B10" s="17">
        <f>B7+B8+B9</f>
        <v/>
      </c>
      <c r="C10" s="17">
        <f>C7+C8+C9</f>
        <v/>
      </c>
      <c r="D10" s="17">
        <f>D7+D8+D9</f>
        <v/>
      </c>
      <c r="E10" s="17">
        <f>E7+E8+E9</f>
        <v/>
      </c>
    </row>
    <row r="11">
      <c r="A11" s="15" t="inlineStr">
        <is>
          <t>Employment income</t>
        </is>
      </c>
      <c r="B11" s="16">
        <f>Inputs!$B$4*Inputs!$B$5*Inputs!$B$6</f>
        <v/>
      </c>
      <c r="C11" s="16">
        <f>$B$11</f>
        <v/>
      </c>
      <c r="D11" s="16">
        <f>$B$11</f>
        <v/>
      </c>
      <c r="E11" s="16">
        <f>$B$11</f>
        <v/>
      </c>
    </row>
    <row r="12">
      <c r="A12" s="3" t="inlineStr">
        <is>
          <t>Total income</t>
        </is>
      </c>
      <c r="B12" s="17">
        <f>B10+B11</f>
        <v/>
      </c>
      <c r="C12" s="17">
        <f>C10+C11</f>
        <v/>
      </c>
      <c r="D12" s="17">
        <f>D10+D11</f>
        <v/>
      </c>
      <c r="E12" s="17">
        <f>E10+E11</f>
        <v/>
      </c>
    </row>
    <row r="14">
      <c r="A14" s="11" t="inlineStr">
        <is>
          <t>PAYROLL CONTRIBUTIONS</t>
        </is>
      </c>
      <c r="B14" s="12" t="n"/>
      <c r="C14" s="12" t="n"/>
      <c r="D14" s="12" t="n"/>
      <c r="E14" s="12" t="n"/>
    </row>
    <row r="15">
      <c r="A15" s="15" t="inlineStr">
        <is>
          <t>Employee CPP (withheld from pay)</t>
        </is>
      </c>
      <c r="B15" s="18">
        <f>(MIN(B11,'Tax Data 2026'!$B$25)-'Tax Data 2026'!$B$26)*'Tax Data 2026'!$B$27</f>
        <v/>
      </c>
      <c r="C15" s="18">
        <f>(MIN(C11,'Tax Data 2026'!$B$25)-'Tax Data 2026'!$B$26)*'Tax Data 2026'!$B$27</f>
        <v/>
      </c>
      <c r="D15" s="18">
        <f>(MIN(D11,'Tax Data 2026'!$B$25)-'Tax Data 2026'!$B$26)*'Tax Data 2026'!$B$27</f>
        <v/>
      </c>
      <c r="E15" s="18">
        <f>(MIN(E11,'Tax Data 2026'!$B$25)-'Tax Data 2026'!$B$26)*'Tax Data 2026'!$B$27</f>
        <v/>
      </c>
    </row>
    <row r="16">
      <c r="A16" s="15" t="inlineStr">
        <is>
          <t>EI premiums (withheld from pay)</t>
        </is>
      </c>
      <c r="B16" s="18">
        <f>MIN(B11,'Tax Data 2026'!$B$31)*'Tax Data 2026'!$B$32</f>
        <v/>
      </c>
      <c r="C16" s="18">
        <f>MIN(C11,'Tax Data 2026'!$B$31)*'Tax Data 2026'!$B$32</f>
        <v/>
      </c>
      <c r="D16" s="18">
        <f>MIN(D11,'Tax Data 2026'!$B$31)*'Tax Data 2026'!$B$32</f>
        <v/>
      </c>
      <c r="E16" s="18">
        <f>MIN(E11,'Tax Data 2026'!$B$31)*'Tax Data 2026'!$B$32</f>
        <v/>
      </c>
    </row>
    <row r="17">
      <c r="A17" s="15" t="inlineStr">
        <is>
          <t>Self-employed CPP on trading</t>
        </is>
      </c>
      <c r="B17" s="18">
        <f>(MIN(B11+B10,'Tax Data 2026'!$B$25)-MIN(B11,'Tax Data 2026'!$B$25))*'Tax Data 2026'!$B$28</f>
        <v/>
      </c>
      <c r="C17" s="18">
        <f>(MIN(C11+C10,'Tax Data 2026'!$B$25)-MIN(C11,'Tax Data 2026'!$B$25))*'Tax Data 2026'!$B$28</f>
        <v/>
      </c>
      <c r="D17" s="18">
        <f>(MIN(D11+D10,'Tax Data 2026'!$B$25)-MIN(D11,'Tax Data 2026'!$B$25))*'Tax Data 2026'!$B$28</f>
        <v/>
      </c>
      <c r="E17" s="18">
        <f>(MIN(E11+E10,'Tax Data 2026'!$B$25)-MIN(E11,'Tax Data 2026'!$B$25))*'Tax Data 2026'!$B$28</f>
        <v/>
      </c>
    </row>
    <row r="18">
      <c r="A18" s="15" t="inlineStr">
        <is>
          <t>Self-employed CPP2 on trading</t>
        </is>
      </c>
      <c r="B18" s="18">
        <f>MAX(0,MIN(B11+B10,'Tax Data 2026'!$B$29)-MAX(B11,'Tax Data 2026'!$B$25))*'Tax Data 2026'!$B$30</f>
        <v/>
      </c>
      <c r="C18" s="18">
        <f>MAX(0,MIN(C11+C10,'Tax Data 2026'!$B$29)-MAX(C11,'Tax Data 2026'!$B$25))*'Tax Data 2026'!$B$30</f>
        <v/>
      </c>
      <c r="D18" s="18">
        <f>MAX(0,MIN(D11+D10,'Tax Data 2026'!$B$29)-MAX(D11,'Tax Data 2026'!$B$25))*'Tax Data 2026'!$B$30</f>
        <v/>
      </c>
      <c r="E18" s="18">
        <f>MAX(0,MIN(E11+E10,'Tax Data 2026'!$B$29)-MAX(E11,'Tax Data 2026'!$B$25))*'Tax Data 2026'!$B$30</f>
        <v/>
      </c>
    </row>
    <row r="20">
      <c r="A20" s="11" t="inlineStr">
        <is>
          <t>TAXABLE INCOME</t>
        </is>
      </c>
      <c r="B20" s="12" t="n"/>
      <c r="C20" s="12" t="n"/>
      <c r="D20" s="12" t="n"/>
      <c r="E20" s="12" t="n"/>
    </row>
    <row r="21">
      <c r="A21" s="4" t="inlineStr">
        <is>
          <t>Deduction: half of self-employed CPP</t>
        </is>
      </c>
      <c r="B21" s="19">
        <f>-0.5*(B17+B18)</f>
        <v/>
      </c>
      <c r="C21" s="19">
        <f>-0.5*(C17+C18)</f>
        <v/>
      </c>
      <c r="D21" s="19">
        <f>-0.5*(D17+D18)</f>
        <v/>
      </c>
      <c r="E21" s="19">
        <f>-0.5*(E17+E18)</f>
        <v/>
      </c>
    </row>
    <row r="22">
      <c r="A22" s="3" t="inlineStr">
        <is>
          <t>Taxable income</t>
        </is>
      </c>
      <c r="B22" s="17">
        <f>B12+B21</f>
        <v/>
      </c>
      <c r="C22" s="17">
        <f>C12+C21</f>
        <v/>
      </c>
      <c r="D22" s="17">
        <f>D12+D21</f>
        <v/>
      </c>
      <c r="E22" s="17">
        <f>E12+E21</f>
        <v/>
      </c>
    </row>
    <row r="24">
      <c r="A24" s="11" t="inlineStr">
        <is>
          <t>FEDERAL TAX</t>
        </is>
      </c>
      <c r="B24" s="12" t="n"/>
      <c r="C24" s="12" t="n"/>
      <c r="D24" s="12" t="n"/>
      <c r="E24" s="12" t="n"/>
    </row>
    <row r="25">
      <c r="A25" s="4" t="inlineStr">
        <is>
          <t xml:space="preserve">  Bracket 1</t>
        </is>
      </c>
      <c r="B25" s="19">
        <f>MAX(0,MIN(B$22,'Tax Data 2026'!$B$6)-'Tax Data 2026'!$A$6)*'Tax Data 2026'!$C$6</f>
        <v/>
      </c>
      <c r="C25" s="19">
        <f>MAX(0,MIN(C$22,'Tax Data 2026'!$B$6)-'Tax Data 2026'!$A$6)*'Tax Data 2026'!$C$6</f>
        <v/>
      </c>
      <c r="D25" s="19">
        <f>MAX(0,MIN(D$22,'Tax Data 2026'!$B$6)-'Tax Data 2026'!$A$6)*'Tax Data 2026'!$C$6</f>
        <v/>
      </c>
      <c r="E25" s="19">
        <f>MAX(0,MIN(E$22,'Tax Data 2026'!$B$6)-'Tax Data 2026'!$A$6)*'Tax Data 2026'!$C$6</f>
        <v/>
      </c>
    </row>
    <row r="26">
      <c r="A26" s="4" t="inlineStr">
        <is>
          <t xml:space="preserve">  Bracket 2</t>
        </is>
      </c>
      <c r="B26" s="19">
        <f>MAX(0,MIN(B$22,'Tax Data 2026'!$B$7)-'Tax Data 2026'!$A$7)*'Tax Data 2026'!$C$7</f>
        <v/>
      </c>
      <c r="C26" s="19">
        <f>MAX(0,MIN(C$22,'Tax Data 2026'!$B$7)-'Tax Data 2026'!$A$7)*'Tax Data 2026'!$C$7</f>
        <v/>
      </c>
      <c r="D26" s="19">
        <f>MAX(0,MIN(D$22,'Tax Data 2026'!$B$7)-'Tax Data 2026'!$A$7)*'Tax Data 2026'!$C$7</f>
        <v/>
      </c>
      <c r="E26" s="19">
        <f>MAX(0,MIN(E$22,'Tax Data 2026'!$B$7)-'Tax Data 2026'!$A$7)*'Tax Data 2026'!$C$7</f>
        <v/>
      </c>
    </row>
    <row r="27">
      <c r="A27" s="4" t="inlineStr">
        <is>
          <t xml:space="preserve">  Bracket 3</t>
        </is>
      </c>
      <c r="B27" s="19">
        <f>MAX(0,MIN(B$22,'Tax Data 2026'!$B$8)-'Tax Data 2026'!$A$8)*'Tax Data 2026'!$C$8</f>
        <v/>
      </c>
      <c r="C27" s="19">
        <f>MAX(0,MIN(C$22,'Tax Data 2026'!$B$8)-'Tax Data 2026'!$A$8)*'Tax Data 2026'!$C$8</f>
        <v/>
      </c>
      <c r="D27" s="19">
        <f>MAX(0,MIN(D$22,'Tax Data 2026'!$B$8)-'Tax Data 2026'!$A$8)*'Tax Data 2026'!$C$8</f>
        <v/>
      </c>
      <c r="E27" s="19">
        <f>MAX(0,MIN(E$22,'Tax Data 2026'!$B$8)-'Tax Data 2026'!$A$8)*'Tax Data 2026'!$C$8</f>
        <v/>
      </c>
    </row>
    <row r="28">
      <c r="A28" s="4" t="inlineStr">
        <is>
          <t xml:space="preserve">  Bracket 4</t>
        </is>
      </c>
      <c r="B28" s="19">
        <f>MAX(0,MIN(B$22,'Tax Data 2026'!$B$9)-'Tax Data 2026'!$A$9)*'Tax Data 2026'!$C$9</f>
        <v/>
      </c>
      <c r="C28" s="19">
        <f>MAX(0,MIN(C$22,'Tax Data 2026'!$B$9)-'Tax Data 2026'!$A$9)*'Tax Data 2026'!$C$9</f>
        <v/>
      </c>
      <c r="D28" s="19">
        <f>MAX(0,MIN(D$22,'Tax Data 2026'!$B$9)-'Tax Data 2026'!$A$9)*'Tax Data 2026'!$C$9</f>
        <v/>
      </c>
      <c r="E28" s="19">
        <f>MAX(0,MIN(E$22,'Tax Data 2026'!$B$9)-'Tax Data 2026'!$A$9)*'Tax Data 2026'!$C$9</f>
        <v/>
      </c>
    </row>
    <row r="29">
      <c r="A29" s="4" t="inlineStr">
        <is>
          <t xml:space="preserve">  Bracket 5</t>
        </is>
      </c>
      <c r="B29" s="19">
        <f>MAX(0,MIN(B$22,'Tax Data 2026'!$B$10)-'Tax Data 2026'!$A$10)*'Tax Data 2026'!$C$10</f>
        <v/>
      </c>
      <c r="C29" s="19">
        <f>MAX(0,MIN(C$22,'Tax Data 2026'!$B$10)-'Tax Data 2026'!$A$10)*'Tax Data 2026'!$C$10</f>
        <v/>
      </c>
      <c r="D29" s="19">
        <f>MAX(0,MIN(D$22,'Tax Data 2026'!$B$10)-'Tax Data 2026'!$A$10)*'Tax Data 2026'!$C$10</f>
        <v/>
      </c>
      <c r="E29" s="19">
        <f>MAX(0,MIN(E$22,'Tax Data 2026'!$B$10)-'Tax Data 2026'!$A$10)*'Tax Data 2026'!$C$10</f>
        <v/>
      </c>
    </row>
    <row r="30">
      <c r="A30" s="4" t="inlineStr">
        <is>
          <t>Federal tax before credits</t>
        </is>
      </c>
      <c r="B30" s="19">
        <f>SUM(B25:B29)</f>
        <v/>
      </c>
      <c r="C30" s="19">
        <f>SUM(C25:C29)</f>
        <v/>
      </c>
      <c r="D30" s="19">
        <f>SUM(D25:D29)</f>
        <v/>
      </c>
      <c r="E30" s="19">
        <f>SUM(E25:E29)</f>
        <v/>
      </c>
    </row>
    <row r="31">
      <c r="A31" s="4" t="inlineStr">
        <is>
          <t>Non-refundable credits (14%)</t>
        </is>
      </c>
      <c r="B31" s="19">
        <f>-0.14*('Tax Data 2026'!$B$22+'Tax Data 2026'!$B$24+B15+B16+0.5*B17)</f>
        <v/>
      </c>
      <c r="C31" s="19">
        <f>-0.14*('Tax Data 2026'!$B$22+'Tax Data 2026'!$B$24+C15+C16+0.5*C17)</f>
        <v/>
      </c>
      <c r="D31" s="19">
        <f>-0.14*('Tax Data 2026'!$B$22+'Tax Data 2026'!$B$24+D15+D16+0.5*D17)</f>
        <v/>
      </c>
      <c r="E31" s="19">
        <f>-0.14*('Tax Data 2026'!$B$22+'Tax Data 2026'!$B$24+E15+E16+0.5*E17)</f>
        <v/>
      </c>
    </row>
    <row r="32">
      <c r="A32" s="3" t="inlineStr">
        <is>
          <t>Federal tax payable</t>
        </is>
      </c>
      <c r="B32" s="20">
        <f>MAX(0,B30+B31)</f>
        <v/>
      </c>
      <c r="C32" s="20">
        <f>MAX(0,C30+C31)</f>
        <v/>
      </c>
      <c r="D32" s="20">
        <f>MAX(0,D30+D31)</f>
        <v/>
      </c>
      <c r="E32" s="20">
        <f>MAX(0,E30+E31)</f>
        <v/>
      </c>
    </row>
    <row r="34">
      <c r="A34" s="11" t="inlineStr">
        <is>
          <t>ALBERTA TAX</t>
        </is>
      </c>
      <c r="B34" s="12" t="n"/>
      <c r="C34" s="12" t="n"/>
      <c r="D34" s="12" t="n"/>
      <c r="E34" s="12" t="n"/>
    </row>
    <row r="35">
      <c r="A35" s="4" t="inlineStr">
        <is>
          <t xml:space="preserve">  Bracket 1</t>
        </is>
      </c>
      <c r="B35" s="19">
        <f>MAX(0,MIN(B$22,'Tax Data 2026'!$B$14)-'Tax Data 2026'!$A$14)*'Tax Data 2026'!$C$14</f>
        <v/>
      </c>
      <c r="C35" s="19">
        <f>MAX(0,MIN(C$22,'Tax Data 2026'!$B$14)-'Tax Data 2026'!$A$14)*'Tax Data 2026'!$C$14</f>
        <v/>
      </c>
      <c r="D35" s="19">
        <f>MAX(0,MIN(D$22,'Tax Data 2026'!$B$14)-'Tax Data 2026'!$A$14)*'Tax Data 2026'!$C$14</f>
        <v/>
      </c>
      <c r="E35" s="19">
        <f>MAX(0,MIN(E$22,'Tax Data 2026'!$B$14)-'Tax Data 2026'!$A$14)*'Tax Data 2026'!$C$14</f>
        <v/>
      </c>
    </row>
    <row r="36">
      <c r="A36" s="4" t="inlineStr">
        <is>
          <t xml:space="preserve">  Bracket 2</t>
        </is>
      </c>
      <c r="B36" s="19">
        <f>MAX(0,MIN(B$22,'Tax Data 2026'!$B$15)-'Tax Data 2026'!$A$15)*'Tax Data 2026'!$C$15</f>
        <v/>
      </c>
      <c r="C36" s="19">
        <f>MAX(0,MIN(C$22,'Tax Data 2026'!$B$15)-'Tax Data 2026'!$A$15)*'Tax Data 2026'!$C$15</f>
        <v/>
      </c>
      <c r="D36" s="19">
        <f>MAX(0,MIN(D$22,'Tax Data 2026'!$B$15)-'Tax Data 2026'!$A$15)*'Tax Data 2026'!$C$15</f>
        <v/>
      </c>
      <c r="E36" s="19">
        <f>MAX(0,MIN(E$22,'Tax Data 2026'!$B$15)-'Tax Data 2026'!$A$15)*'Tax Data 2026'!$C$15</f>
        <v/>
      </c>
    </row>
    <row r="37">
      <c r="A37" s="4" t="inlineStr">
        <is>
          <t xml:space="preserve">  Bracket 3</t>
        </is>
      </c>
      <c r="B37" s="19">
        <f>MAX(0,MIN(B$22,'Tax Data 2026'!$B$16)-'Tax Data 2026'!$A$16)*'Tax Data 2026'!$C$16</f>
        <v/>
      </c>
      <c r="C37" s="19">
        <f>MAX(0,MIN(C$22,'Tax Data 2026'!$B$16)-'Tax Data 2026'!$A$16)*'Tax Data 2026'!$C$16</f>
        <v/>
      </c>
      <c r="D37" s="19">
        <f>MAX(0,MIN(D$22,'Tax Data 2026'!$B$16)-'Tax Data 2026'!$A$16)*'Tax Data 2026'!$C$16</f>
        <v/>
      </c>
      <c r="E37" s="19">
        <f>MAX(0,MIN(E$22,'Tax Data 2026'!$B$16)-'Tax Data 2026'!$A$16)*'Tax Data 2026'!$C$16</f>
        <v/>
      </c>
    </row>
    <row r="38">
      <c r="A38" s="4" t="inlineStr">
        <is>
          <t xml:space="preserve">  Bracket 4</t>
        </is>
      </c>
      <c r="B38" s="19">
        <f>MAX(0,MIN(B$22,'Tax Data 2026'!$B$17)-'Tax Data 2026'!$A$17)*'Tax Data 2026'!$C$17</f>
        <v/>
      </c>
      <c r="C38" s="19">
        <f>MAX(0,MIN(C$22,'Tax Data 2026'!$B$17)-'Tax Data 2026'!$A$17)*'Tax Data 2026'!$C$17</f>
        <v/>
      </c>
      <c r="D38" s="19">
        <f>MAX(0,MIN(D$22,'Tax Data 2026'!$B$17)-'Tax Data 2026'!$A$17)*'Tax Data 2026'!$C$17</f>
        <v/>
      </c>
      <c r="E38" s="19">
        <f>MAX(0,MIN(E$22,'Tax Data 2026'!$B$17)-'Tax Data 2026'!$A$17)*'Tax Data 2026'!$C$17</f>
        <v/>
      </c>
    </row>
    <row r="39">
      <c r="A39" s="4" t="inlineStr">
        <is>
          <t xml:space="preserve">  Bracket 5</t>
        </is>
      </c>
      <c r="B39" s="19">
        <f>MAX(0,MIN(B$22,'Tax Data 2026'!$B$18)-'Tax Data 2026'!$A$18)*'Tax Data 2026'!$C$18</f>
        <v/>
      </c>
      <c r="C39" s="19">
        <f>MAX(0,MIN(C$22,'Tax Data 2026'!$B$18)-'Tax Data 2026'!$A$18)*'Tax Data 2026'!$C$18</f>
        <v/>
      </c>
      <c r="D39" s="19">
        <f>MAX(0,MIN(D$22,'Tax Data 2026'!$B$18)-'Tax Data 2026'!$A$18)*'Tax Data 2026'!$C$18</f>
        <v/>
      </c>
      <c r="E39" s="19">
        <f>MAX(0,MIN(E$22,'Tax Data 2026'!$B$18)-'Tax Data 2026'!$A$18)*'Tax Data 2026'!$C$18</f>
        <v/>
      </c>
    </row>
    <row r="40">
      <c r="A40" s="4" t="inlineStr">
        <is>
          <t xml:space="preserve">  Bracket 6</t>
        </is>
      </c>
      <c r="B40" s="19">
        <f>MAX(0,MIN(B$22,'Tax Data 2026'!$B$19)-'Tax Data 2026'!$A$19)*'Tax Data 2026'!$C$19</f>
        <v/>
      </c>
      <c r="C40" s="19">
        <f>MAX(0,MIN(C$22,'Tax Data 2026'!$B$19)-'Tax Data 2026'!$A$19)*'Tax Data 2026'!$C$19</f>
        <v/>
      </c>
      <c r="D40" s="19">
        <f>MAX(0,MIN(D$22,'Tax Data 2026'!$B$19)-'Tax Data 2026'!$A$19)*'Tax Data 2026'!$C$19</f>
        <v/>
      </c>
      <c r="E40" s="19">
        <f>MAX(0,MIN(E$22,'Tax Data 2026'!$B$19)-'Tax Data 2026'!$A$19)*'Tax Data 2026'!$C$19</f>
        <v/>
      </c>
    </row>
    <row r="41">
      <c r="A41" s="4" t="inlineStr">
        <is>
          <t>Alberta tax before credits</t>
        </is>
      </c>
      <c r="B41" s="19">
        <f>SUM(B35:B40)</f>
        <v/>
      </c>
      <c r="C41" s="19">
        <f>SUM(C35:C40)</f>
        <v/>
      </c>
      <c r="D41" s="19">
        <f>SUM(D35:D40)</f>
        <v/>
      </c>
      <c r="E41" s="19">
        <f>SUM(E35:E40)</f>
        <v/>
      </c>
    </row>
    <row r="42">
      <c r="A42" s="4" t="inlineStr">
        <is>
          <t>Non-refundable credits (8%)</t>
        </is>
      </c>
      <c r="B42" s="19">
        <f>-0.08*('Tax Data 2026'!$B$23+B15+B16+0.5*B17)</f>
        <v/>
      </c>
      <c r="C42" s="19">
        <f>-0.08*('Tax Data 2026'!$B$23+C15+C16+0.5*C17)</f>
        <v/>
      </c>
      <c r="D42" s="19">
        <f>-0.08*('Tax Data 2026'!$B$23+D15+D16+0.5*D17)</f>
        <v/>
      </c>
      <c r="E42" s="19">
        <f>-0.08*('Tax Data 2026'!$B$23+E15+E16+0.5*E17)</f>
        <v/>
      </c>
    </row>
    <row r="43">
      <c r="A43" s="3" t="inlineStr">
        <is>
          <t>Alberta tax payable</t>
        </is>
      </c>
      <c r="B43" s="20">
        <f>MAX(0,B41+B42)</f>
        <v/>
      </c>
      <c r="C43" s="20">
        <f>MAX(0,C41+C42)</f>
        <v/>
      </c>
      <c r="D43" s="20">
        <f>MAX(0,D41+D42)</f>
        <v/>
      </c>
      <c r="E43" s="20">
        <f>MAX(0,E41+E42)</f>
        <v/>
      </c>
    </row>
    <row r="45">
      <c r="A45" s="11" t="inlineStr">
        <is>
          <t>RESULTS</t>
        </is>
      </c>
      <c r="B45" s="12" t="n"/>
      <c r="C45" s="12" t="n"/>
      <c r="D45" s="12" t="n"/>
      <c r="E45" s="12" t="n"/>
    </row>
    <row r="46">
      <c r="A46" s="3" t="inlineStr">
        <is>
          <t>Total income tax</t>
        </is>
      </c>
      <c r="B46" s="21">
        <f>B32+B43</f>
        <v/>
      </c>
      <c r="C46" s="21">
        <f>C32+C43</f>
        <v/>
      </c>
      <c r="D46" s="21">
        <f>D32+D43</f>
        <v/>
      </c>
      <c r="E46" s="21">
        <f>E32+E43</f>
        <v/>
      </c>
    </row>
    <row r="47">
      <c r="A47" s="3" t="inlineStr">
        <is>
          <t>Total tax + all CPP/EI</t>
        </is>
      </c>
      <c r="B47" s="21">
        <f>B46+B15+B16+B17+B18</f>
        <v/>
      </c>
      <c r="C47" s="21">
        <f>C46+C15+C16+C17+C18</f>
        <v/>
      </c>
      <c r="D47" s="21">
        <f>D46+D15+D16+D17+D18</f>
        <v/>
      </c>
      <c r="E47" s="21">
        <f>E46+E15+E16+E17+E18</f>
        <v/>
      </c>
    </row>
    <row r="48">
      <c r="A48" s="3" t="inlineStr">
        <is>
          <t>After-tax income</t>
        </is>
      </c>
      <c r="B48" s="17">
        <f>B12-B47</f>
        <v/>
      </c>
      <c r="C48" s="17">
        <f>C12-C47</f>
        <v/>
      </c>
      <c r="D48" s="17">
        <f>D12-D47</f>
        <v/>
      </c>
      <c r="E48" s="17">
        <f>E12-E47</f>
        <v/>
      </c>
    </row>
    <row r="49">
      <c r="A49" s="4" t="inlineStr">
        <is>
          <t>Average rate (on total income)</t>
        </is>
      </c>
      <c r="B49" s="10">
        <f>IF(B12=0,0,B47/B12)</f>
        <v/>
      </c>
      <c r="C49" s="10">
        <f>IF(C12=0,0,C47/C12)</f>
        <v/>
      </c>
      <c r="D49" s="10">
        <f>IF(D12=0,0,D47/D12)</f>
        <v/>
      </c>
      <c r="E49" s="10">
        <f>IF(E12=0,0,E47/E12)</f>
        <v/>
      </c>
    </row>
    <row r="51">
      <c r="A51" s="4" t="inlineStr">
        <is>
          <t>Cost of trading vs salary-only</t>
        </is>
      </c>
      <c r="B51" s="19" t="inlineStr"/>
      <c r="C51" s="19">
        <f>C47-$B$47</f>
        <v/>
      </c>
      <c r="D51" s="19">
        <f>D47-$B$47</f>
        <v/>
      </c>
      <c r="E51" s="19">
        <f>E47-$B$47</f>
        <v/>
      </c>
    </row>
    <row r="52">
      <c r="A52" s="3" t="inlineStr">
        <is>
          <t>Effective rate on trading profit</t>
        </is>
      </c>
      <c r="B52" s="22" t="inlineStr"/>
      <c r="C52" s="22">
        <f>IF(C7=0,0,C51/C7)</f>
        <v/>
      </c>
      <c r="D52" s="22">
        <f>IF(D7=0,0,D51/D7)</f>
        <v/>
      </c>
      <c r="E52" s="22">
        <f>IF(E7=0,0,E51/E7)</f>
        <v/>
      </c>
    </row>
    <row r="53">
      <c r="A53" s="4" t="inlineStr">
        <is>
          <t>Set aside per $100 of trading profit</t>
        </is>
      </c>
      <c r="B53" s="9" t="inlineStr"/>
      <c r="C53" s="9">
        <f>C52*100</f>
        <v/>
      </c>
      <c r="D53" s="9">
        <f>D52*100</f>
        <v/>
      </c>
      <c r="E53" s="9">
        <f>E52*100</f>
        <v/>
      </c>
    </row>
    <row r="55">
      <c r="A55" s="6" t="inlineStr">
        <is>
          <t>Notes: 2026 rules, Alberta resident, single filer, no other income/deductions. Employer withholding assumed to cover the salary-only liability. No EI on self-employment income (opt-in not assumed). Estimates for planning, not filing — see docs/trader_taxation.md.</t>
        </is>
      </c>
    </row>
    <row r="56"/>
    <row r="57"/>
  </sheetData>
  <mergeCells count="1">
    <mergeCell ref="A55:E57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Personal Income Tax Brackets 2026 — All of Canada</t>
        </is>
      </c>
    </row>
    <row r="2">
      <c r="A2" s="2" t="inlineStr">
        <is>
          <t>Federal + every province/territory. Source: data/json/personal_income_tax_2026.json (CRA figures; see README.md).</t>
        </is>
      </c>
    </row>
    <row r="4">
      <c r="A4" s="8" t="inlineStr">
        <is>
          <t>Jurisdiction</t>
        </is>
      </c>
      <c r="B4" s="8" t="inlineStr">
        <is>
          <t>Bracket</t>
        </is>
      </c>
      <c r="C4" s="8" t="inlineStr">
        <is>
          <t>From</t>
        </is>
      </c>
      <c r="D4" s="8" t="inlineStr">
        <is>
          <t>To</t>
        </is>
      </c>
      <c r="E4" s="8" t="inlineStr">
        <is>
          <t>Marginal rate</t>
        </is>
      </c>
    </row>
    <row r="5">
      <c r="A5" s="4" t="inlineStr">
        <is>
          <t>Canada (federal)</t>
        </is>
      </c>
      <c r="B5" s="4" t="n">
        <v>1</v>
      </c>
      <c r="C5" s="9" t="n">
        <v>0</v>
      </c>
      <c r="D5" s="9" t="n">
        <v>58523</v>
      </c>
      <c r="E5" s="23" t="n">
        <v>0.14</v>
      </c>
    </row>
    <row r="6">
      <c r="A6" s="4" t="inlineStr">
        <is>
          <t>Canada (federal)</t>
        </is>
      </c>
      <c r="B6" s="4" t="n">
        <v>2</v>
      </c>
      <c r="C6" s="9" t="n">
        <v>58523</v>
      </c>
      <c r="D6" s="9" t="n">
        <v>117045</v>
      </c>
      <c r="E6" s="23" t="n">
        <v>0.205</v>
      </c>
    </row>
    <row r="7">
      <c r="A7" s="4" t="inlineStr">
        <is>
          <t>Canada (federal)</t>
        </is>
      </c>
      <c r="B7" s="4" t="n">
        <v>3</v>
      </c>
      <c r="C7" s="9" t="n">
        <v>117045</v>
      </c>
      <c r="D7" s="9" t="n">
        <v>181440</v>
      </c>
      <c r="E7" s="23" t="n">
        <v>0.26</v>
      </c>
    </row>
    <row r="8">
      <c r="A8" s="4" t="inlineStr">
        <is>
          <t>Canada (federal)</t>
        </is>
      </c>
      <c r="B8" s="4" t="n">
        <v>4</v>
      </c>
      <c r="C8" s="9" t="n">
        <v>181440</v>
      </c>
      <c r="D8" s="9" t="n">
        <v>258482</v>
      </c>
      <c r="E8" s="23" t="n">
        <v>0.29</v>
      </c>
    </row>
    <row r="9">
      <c r="A9" s="4" t="inlineStr">
        <is>
          <t>Canada (federal)</t>
        </is>
      </c>
      <c r="B9" s="4" t="n">
        <v>5</v>
      </c>
      <c r="C9" s="9" t="n">
        <v>258482</v>
      </c>
      <c r="D9" s="9" t="inlineStr">
        <is>
          <t>no limit</t>
        </is>
      </c>
      <c r="E9" s="23" t="n">
        <v>0.33</v>
      </c>
    </row>
    <row r="10">
      <c r="A10" s="4" t="inlineStr">
        <is>
          <t>Alberta</t>
        </is>
      </c>
      <c r="B10" s="4" t="n">
        <v>1</v>
      </c>
      <c r="C10" s="9" t="n">
        <v>0</v>
      </c>
      <c r="D10" s="9" t="n">
        <v>61200</v>
      </c>
      <c r="E10" s="23" t="n">
        <v>0.08</v>
      </c>
    </row>
    <row r="11">
      <c r="A11" s="4" t="inlineStr">
        <is>
          <t>Alberta</t>
        </is>
      </c>
      <c r="B11" s="4" t="n">
        <v>2</v>
      </c>
      <c r="C11" s="9" t="n">
        <v>61200</v>
      </c>
      <c r="D11" s="9" t="n">
        <v>151234</v>
      </c>
      <c r="E11" s="23" t="n">
        <v>0.1</v>
      </c>
    </row>
    <row r="12">
      <c r="A12" s="4" t="inlineStr">
        <is>
          <t>Alberta</t>
        </is>
      </c>
      <c r="B12" s="4" t="n">
        <v>3</v>
      </c>
      <c r="C12" s="9" t="n">
        <v>151234</v>
      </c>
      <c r="D12" s="9" t="n">
        <v>181480</v>
      </c>
      <c r="E12" s="23" t="n">
        <v>0.12</v>
      </c>
    </row>
    <row r="13">
      <c r="A13" s="4" t="inlineStr">
        <is>
          <t>Alberta</t>
        </is>
      </c>
      <c r="B13" s="4" t="n">
        <v>4</v>
      </c>
      <c r="C13" s="9" t="n">
        <v>181480</v>
      </c>
      <c r="D13" s="9" t="n">
        <v>241975</v>
      </c>
      <c r="E13" s="23" t="n">
        <v>0.13</v>
      </c>
    </row>
    <row r="14">
      <c r="A14" s="4" t="inlineStr">
        <is>
          <t>Alberta</t>
        </is>
      </c>
      <c r="B14" s="4" t="n">
        <v>5</v>
      </c>
      <c r="C14" s="9" t="n">
        <v>241975</v>
      </c>
      <c r="D14" s="9" t="n">
        <v>362962</v>
      </c>
      <c r="E14" s="23" t="n">
        <v>0.14</v>
      </c>
    </row>
    <row r="15">
      <c r="A15" s="4" t="inlineStr">
        <is>
          <t>Alberta</t>
        </is>
      </c>
      <c r="B15" s="4" t="n">
        <v>6</v>
      </c>
      <c r="C15" s="9" t="n">
        <v>362962</v>
      </c>
      <c r="D15" s="9" t="inlineStr">
        <is>
          <t>no limit</t>
        </is>
      </c>
      <c r="E15" s="23" t="n">
        <v>0.15</v>
      </c>
    </row>
    <row r="16">
      <c r="A16" s="4" t="inlineStr">
        <is>
          <t>British Columbia</t>
        </is>
      </c>
      <c r="B16" s="4" t="n">
        <v>1</v>
      </c>
      <c r="C16" s="9" t="n">
        <v>0</v>
      </c>
      <c r="D16" s="9" t="n">
        <v>50363</v>
      </c>
      <c r="E16" s="23" t="n">
        <v>0.056</v>
      </c>
    </row>
    <row r="17">
      <c r="A17" s="4" t="inlineStr">
        <is>
          <t>British Columbia</t>
        </is>
      </c>
      <c r="B17" s="4" t="n">
        <v>2</v>
      </c>
      <c r="C17" s="9" t="n">
        <v>50363</v>
      </c>
      <c r="D17" s="9" t="n">
        <v>100728</v>
      </c>
      <c r="E17" s="23" t="n">
        <v>0.077</v>
      </c>
    </row>
    <row r="18">
      <c r="A18" s="4" t="inlineStr">
        <is>
          <t>British Columbia</t>
        </is>
      </c>
      <c r="B18" s="4" t="n">
        <v>3</v>
      </c>
      <c r="C18" s="9" t="n">
        <v>100728</v>
      </c>
      <c r="D18" s="9" t="n">
        <v>115647</v>
      </c>
      <c r="E18" s="23" t="n">
        <v>0.105</v>
      </c>
    </row>
    <row r="19">
      <c r="A19" s="4" t="inlineStr">
        <is>
          <t>British Columbia</t>
        </is>
      </c>
      <c r="B19" s="4" t="n">
        <v>4</v>
      </c>
      <c r="C19" s="9" t="n">
        <v>115647</v>
      </c>
      <c r="D19" s="9" t="n">
        <v>140430</v>
      </c>
      <c r="E19" s="23" t="n">
        <v>0.1229</v>
      </c>
    </row>
    <row r="20">
      <c r="A20" s="4" t="inlineStr">
        <is>
          <t>British Columbia</t>
        </is>
      </c>
      <c r="B20" s="4" t="n">
        <v>5</v>
      </c>
      <c r="C20" s="9" t="n">
        <v>140430</v>
      </c>
      <c r="D20" s="9" t="n">
        <v>190405</v>
      </c>
      <c r="E20" s="23" t="n">
        <v>0.147</v>
      </c>
    </row>
    <row r="21">
      <c r="A21" s="4" t="inlineStr">
        <is>
          <t>British Columbia</t>
        </is>
      </c>
      <c r="B21" s="4" t="n">
        <v>6</v>
      </c>
      <c r="C21" s="9" t="n">
        <v>190405</v>
      </c>
      <c r="D21" s="9" t="n">
        <v>265545</v>
      </c>
      <c r="E21" s="23" t="n">
        <v>0.168</v>
      </c>
    </row>
    <row r="22">
      <c r="A22" s="4" t="inlineStr">
        <is>
          <t>British Columbia</t>
        </is>
      </c>
      <c r="B22" s="4" t="n">
        <v>7</v>
      </c>
      <c r="C22" s="9" t="n">
        <v>265545</v>
      </c>
      <c r="D22" s="9" t="inlineStr">
        <is>
          <t>no limit</t>
        </is>
      </c>
      <c r="E22" s="23" t="n">
        <v>0.205</v>
      </c>
    </row>
    <row r="23">
      <c r="A23" s="4" t="inlineStr">
        <is>
          <t>Saskatchewan</t>
        </is>
      </c>
      <c r="B23" s="4" t="n">
        <v>1</v>
      </c>
      <c r="C23" s="9" t="n">
        <v>0</v>
      </c>
      <c r="D23" s="9" t="n">
        <v>54532</v>
      </c>
      <c r="E23" s="23" t="n">
        <v>0.105</v>
      </c>
    </row>
    <row r="24">
      <c r="A24" s="4" t="inlineStr">
        <is>
          <t>Saskatchewan</t>
        </is>
      </c>
      <c r="B24" s="4" t="n">
        <v>2</v>
      </c>
      <c r="C24" s="9" t="n">
        <v>54532</v>
      </c>
      <c r="D24" s="9" t="n">
        <v>155805</v>
      </c>
      <c r="E24" s="23" t="n">
        <v>0.125</v>
      </c>
    </row>
    <row r="25">
      <c r="A25" s="4" t="inlineStr">
        <is>
          <t>Saskatchewan</t>
        </is>
      </c>
      <c r="B25" s="4" t="n">
        <v>3</v>
      </c>
      <c r="C25" s="9" t="n">
        <v>155805</v>
      </c>
      <c r="D25" s="9" t="inlineStr">
        <is>
          <t>no limit</t>
        </is>
      </c>
      <c r="E25" s="23" t="n">
        <v>0.145</v>
      </c>
    </row>
    <row r="26">
      <c r="A26" s="4" t="inlineStr">
        <is>
          <t>Manitoba</t>
        </is>
      </c>
      <c r="B26" s="4" t="n">
        <v>1</v>
      </c>
      <c r="C26" s="9" t="n">
        <v>0</v>
      </c>
      <c r="D26" s="9" t="n">
        <v>47564</v>
      </c>
      <c r="E26" s="23" t="n">
        <v>0.108</v>
      </c>
    </row>
    <row r="27">
      <c r="A27" s="4" t="inlineStr">
        <is>
          <t>Manitoba</t>
        </is>
      </c>
      <c r="B27" s="4" t="n">
        <v>2</v>
      </c>
      <c r="C27" s="9" t="n">
        <v>47564</v>
      </c>
      <c r="D27" s="9" t="n">
        <v>101200</v>
      </c>
      <c r="E27" s="23" t="n">
        <v>0.1275</v>
      </c>
    </row>
    <row r="28">
      <c r="A28" s="4" t="inlineStr">
        <is>
          <t>Manitoba</t>
        </is>
      </c>
      <c r="B28" s="4" t="n">
        <v>3</v>
      </c>
      <c r="C28" s="9" t="n">
        <v>101200</v>
      </c>
      <c r="D28" s="9" t="inlineStr">
        <is>
          <t>no limit</t>
        </is>
      </c>
      <c r="E28" s="23" t="n">
        <v>0.174</v>
      </c>
    </row>
    <row r="29">
      <c r="A29" s="4" t="inlineStr">
        <is>
          <t>Ontario</t>
        </is>
      </c>
      <c r="B29" s="4" t="n">
        <v>1</v>
      </c>
      <c r="C29" s="9" t="n">
        <v>0</v>
      </c>
      <c r="D29" s="9" t="n">
        <v>53891</v>
      </c>
      <c r="E29" s="23" t="n">
        <v>0.0505</v>
      </c>
    </row>
    <row r="30">
      <c r="A30" s="4" t="inlineStr">
        <is>
          <t>Ontario</t>
        </is>
      </c>
      <c r="B30" s="4" t="n">
        <v>2</v>
      </c>
      <c r="C30" s="9" t="n">
        <v>53891</v>
      </c>
      <c r="D30" s="9" t="n">
        <v>107785</v>
      </c>
      <c r="E30" s="23" t="n">
        <v>0.0915</v>
      </c>
    </row>
    <row r="31">
      <c r="A31" s="4" t="inlineStr">
        <is>
          <t>Ontario</t>
        </is>
      </c>
      <c r="B31" s="4" t="n">
        <v>3</v>
      </c>
      <c r="C31" s="9" t="n">
        <v>107785</v>
      </c>
      <c r="D31" s="9" t="n">
        <v>150000</v>
      </c>
      <c r="E31" s="23" t="n">
        <v>0.1116</v>
      </c>
    </row>
    <row r="32">
      <c r="A32" s="4" t="inlineStr">
        <is>
          <t>Ontario</t>
        </is>
      </c>
      <c r="B32" s="4" t="n">
        <v>4</v>
      </c>
      <c r="C32" s="9" t="n">
        <v>150000</v>
      </c>
      <c r="D32" s="9" t="n">
        <v>220000</v>
      </c>
      <c r="E32" s="23" t="n">
        <v>0.1216</v>
      </c>
    </row>
    <row r="33">
      <c r="A33" s="4" t="inlineStr">
        <is>
          <t>Ontario</t>
        </is>
      </c>
      <c r="B33" s="4" t="n">
        <v>5</v>
      </c>
      <c r="C33" s="9" t="n">
        <v>220000</v>
      </c>
      <c r="D33" s="9" t="inlineStr">
        <is>
          <t>no limit</t>
        </is>
      </c>
      <c r="E33" s="23" t="n">
        <v>0.1316</v>
      </c>
    </row>
    <row r="34">
      <c r="A34" s="4" t="inlineStr">
        <is>
          <t>Quebec</t>
        </is>
      </c>
      <c r="B34" s="4" t="n">
        <v>1</v>
      </c>
      <c r="C34" s="9" t="n">
        <v>0</v>
      </c>
      <c r="D34" s="9" t="n">
        <v>54345</v>
      </c>
      <c r="E34" s="23" t="n">
        <v>0.14</v>
      </c>
    </row>
    <row r="35">
      <c r="A35" s="4" t="inlineStr">
        <is>
          <t>Quebec</t>
        </is>
      </c>
      <c r="B35" s="4" t="n">
        <v>2</v>
      </c>
      <c r="C35" s="9" t="n">
        <v>54345</v>
      </c>
      <c r="D35" s="9" t="n">
        <v>108680</v>
      </c>
      <c r="E35" s="23" t="n">
        <v>0.19</v>
      </c>
    </row>
    <row r="36">
      <c r="A36" s="4" t="inlineStr">
        <is>
          <t>Quebec</t>
        </is>
      </c>
      <c r="B36" s="4" t="n">
        <v>3</v>
      </c>
      <c r="C36" s="9" t="n">
        <v>108680</v>
      </c>
      <c r="D36" s="9" t="n">
        <v>132245</v>
      </c>
      <c r="E36" s="23" t="n">
        <v>0.24</v>
      </c>
    </row>
    <row r="37">
      <c r="A37" s="4" t="inlineStr">
        <is>
          <t>Quebec</t>
        </is>
      </c>
      <c r="B37" s="4" t="n">
        <v>4</v>
      </c>
      <c r="C37" s="9" t="n">
        <v>132245</v>
      </c>
      <c r="D37" s="9" t="inlineStr">
        <is>
          <t>no limit</t>
        </is>
      </c>
      <c r="E37" s="23" t="n">
        <v>0.2575</v>
      </c>
    </row>
    <row r="38">
      <c r="A38" s="4" t="inlineStr">
        <is>
          <t>New Brunswick</t>
        </is>
      </c>
      <c r="B38" s="4" t="n">
        <v>1</v>
      </c>
      <c r="C38" s="9" t="n">
        <v>0</v>
      </c>
      <c r="D38" s="9" t="n">
        <v>52332</v>
      </c>
      <c r="E38" s="23" t="n">
        <v>0.094</v>
      </c>
    </row>
    <row r="39">
      <c r="A39" s="4" t="inlineStr">
        <is>
          <t>New Brunswick</t>
        </is>
      </c>
      <c r="B39" s="4" t="n">
        <v>2</v>
      </c>
      <c r="C39" s="9" t="n">
        <v>52332</v>
      </c>
      <c r="D39" s="9" t="n">
        <v>104666</v>
      </c>
      <c r="E39" s="23" t="n">
        <v>0.14</v>
      </c>
    </row>
    <row r="40">
      <c r="A40" s="4" t="inlineStr">
        <is>
          <t>New Brunswick</t>
        </is>
      </c>
      <c r="B40" s="4" t="n">
        <v>3</v>
      </c>
      <c r="C40" s="9" t="n">
        <v>104666</v>
      </c>
      <c r="D40" s="9" t="n">
        <v>193861</v>
      </c>
      <c r="E40" s="23" t="n">
        <v>0.16</v>
      </c>
    </row>
    <row r="41">
      <c r="A41" s="4" t="inlineStr">
        <is>
          <t>New Brunswick</t>
        </is>
      </c>
      <c r="B41" s="4" t="n">
        <v>4</v>
      </c>
      <c r="C41" s="9" t="n">
        <v>193861</v>
      </c>
      <c r="D41" s="9" t="inlineStr">
        <is>
          <t>no limit</t>
        </is>
      </c>
      <c r="E41" s="23" t="n">
        <v>0.195</v>
      </c>
    </row>
    <row r="42">
      <c r="A42" s="4" t="inlineStr">
        <is>
          <t>Nova Scotia</t>
        </is>
      </c>
      <c r="B42" s="4" t="n">
        <v>1</v>
      </c>
      <c r="C42" s="9" t="n">
        <v>0</v>
      </c>
      <c r="D42" s="9" t="n">
        <v>30995</v>
      </c>
      <c r="E42" s="23" t="n">
        <v>0.08790000000000001</v>
      </c>
    </row>
    <row r="43">
      <c r="A43" s="4" t="inlineStr">
        <is>
          <t>Nova Scotia</t>
        </is>
      </c>
      <c r="B43" s="4" t="n">
        <v>2</v>
      </c>
      <c r="C43" s="9" t="n">
        <v>30995</v>
      </c>
      <c r="D43" s="9" t="n">
        <v>61991</v>
      </c>
      <c r="E43" s="23" t="n">
        <v>0.1495</v>
      </c>
    </row>
    <row r="44">
      <c r="A44" s="4" t="inlineStr">
        <is>
          <t>Nova Scotia</t>
        </is>
      </c>
      <c r="B44" s="4" t="n">
        <v>3</v>
      </c>
      <c r="C44" s="9" t="n">
        <v>61991</v>
      </c>
      <c r="D44" s="9" t="n">
        <v>97417</v>
      </c>
      <c r="E44" s="23" t="n">
        <v>0.1667</v>
      </c>
    </row>
    <row r="45">
      <c r="A45" s="4" t="inlineStr">
        <is>
          <t>Nova Scotia</t>
        </is>
      </c>
      <c r="B45" s="4" t="n">
        <v>4</v>
      </c>
      <c r="C45" s="9" t="n">
        <v>97417</v>
      </c>
      <c r="D45" s="9" t="n">
        <v>157124</v>
      </c>
      <c r="E45" s="23" t="n">
        <v>0.175</v>
      </c>
    </row>
    <row r="46">
      <c r="A46" s="4" t="inlineStr">
        <is>
          <t>Nova Scotia</t>
        </is>
      </c>
      <c r="B46" s="4" t="n">
        <v>5</v>
      </c>
      <c r="C46" s="9" t="n">
        <v>157124</v>
      </c>
      <c r="D46" s="9" t="inlineStr">
        <is>
          <t>no limit</t>
        </is>
      </c>
      <c r="E46" s="23" t="n">
        <v>0.21</v>
      </c>
    </row>
    <row r="47">
      <c r="A47" s="4" t="inlineStr">
        <is>
          <t>Prince Edward Island</t>
        </is>
      </c>
      <c r="B47" s="4" t="n">
        <v>1</v>
      </c>
      <c r="C47" s="9" t="n">
        <v>0</v>
      </c>
      <c r="D47" s="9" t="n">
        <v>33928</v>
      </c>
      <c r="E47" s="23" t="n">
        <v>0.095</v>
      </c>
    </row>
    <row r="48">
      <c r="A48" s="4" t="inlineStr">
        <is>
          <t>Prince Edward Island</t>
        </is>
      </c>
      <c r="B48" s="4" t="n">
        <v>2</v>
      </c>
      <c r="C48" s="9" t="n">
        <v>33928</v>
      </c>
      <c r="D48" s="9" t="n">
        <v>65820</v>
      </c>
      <c r="E48" s="23" t="n">
        <v>0.1347</v>
      </c>
    </row>
    <row r="49">
      <c r="A49" s="4" t="inlineStr">
        <is>
          <t>Prince Edward Island</t>
        </is>
      </c>
      <c r="B49" s="4" t="n">
        <v>3</v>
      </c>
      <c r="C49" s="9" t="n">
        <v>65820</v>
      </c>
      <c r="D49" s="9" t="n">
        <v>106890</v>
      </c>
      <c r="E49" s="23" t="n">
        <v>0.166</v>
      </c>
    </row>
    <row r="50">
      <c r="A50" s="4" t="inlineStr">
        <is>
          <t>Prince Edward Island</t>
        </is>
      </c>
      <c r="B50" s="4" t="n">
        <v>4</v>
      </c>
      <c r="C50" s="9" t="n">
        <v>106890</v>
      </c>
      <c r="D50" s="9" t="n">
        <v>142520</v>
      </c>
      <c r="E50" s="23" t="n">
        <v>0.1762</v>
      </c>
    </row>
    <row r="51">
      <c r="A51" s="4" t="inlineStr">
        <is>
          <t>Prince Edward Island</t>
        </is>
      </c>
      <c r="B51" s="4" t="n">
        <v>5</v>
      </c>
      <c r="C51" s="9" t="n">
        <v>142520</v>
      </c>
      <c r="D51" s="9" t="inlineStr">
        <is>
          <t>no limit</t>
        </is>
      </c>
      <c r="E51" s="23" t="n">
        <v>0.19</v>
      </c>
    </row>
    <row r="52">
      <c r="A52" s="4" t="inlineStr">
        <is>
          <t>Newfoundland and Labrador</t>
        </is>
      </c>
      <c r="B52" s="4" t="n">
        <v>1</v>
      </c>
      <c r="C52" s="9" t="n">
        <v>0</v>
      </c>
      <c r="D52" s="9" t="n">
        <v>44678</v>
      </c>
      <c r="E52" s="23" t="n">
        <v>0.08699999999999999</v>
      </c>
    </row>
    <row r="53">
      <c r="A53" s="4" t="inlineStr">
        <is>
          <t>Newfoundland and Labrador</t>
        </is>
      </c>
      <c r="B53" s="4" t="n">
        <v>2</v>
      </c>
      <c r="C53" s="9" t="n">
        <v>44678</v>
      </c>
      <c r="D53" s="9" t="n">
        <v>89354</v>
      </c>
      <c r="E53" s="23" t="n">
        <v>0.145</v>
      </c>
    </row>
    <row r="54">
      <c r="A54" s="4" t="inlineStr">
        <is>
          <t>Newfoundland and Labrador</t>
        </is>
      </c>
      <c r="B54" s="4" t="n">
        <v>3</v>
      </c>
      <c r="C54" s="9" t="n">
        <v>89354</v>
      </c>
      <c r="D54" s="9" t="n">
        <v>159528</v>
      </c>
      <c r="E54" s="23" t="n">
        <v>0.158</v>
      </c>
    </row>
    <row r="55">
      <c r="A55" s="4" t="inlineStr">
        <is>
          <t>Newfoundland and Labrador</t>
        </is>
      </c>
      <c r="B55" s="4" t="n">
        <v>4</v>
      </c>
      <c r="C55" s="9" t="n">
        <v>159528</v>
      </c>
      <c r="D55" s="9" t="n">
        <v>223340</v>
      </c>
      <c r="E55" s="23" t="n">
        <v>0.178</v>
      </c>
    </row>
    <row r="56">
      <c r="A56" s="4" t="inlineStr">
        <is>
          <t>Newfoundland and Labrador</t>
        </is>
      </c>
      <c r="B56" s="4" t="n">
        <v>5</v>
      </c>
      <c r="C56" s="9" t="n">
        <v>223340</v>
      </c>
      <c r="D56" s="9" t="n">
        <v>285319</v>
      </c>
      <c r="E56" s="23" t="n">
        <v>0.198</v>
      </c>
    </row>
    <row r="57">
      <c r="A57" s="4" t="inlineStr">
        <is>
          <t>Newfoundland and Labrador</t>
        </is>
      </c>
      <c r="B57" s="4" t="n">
        <v>6</v>
      </c>
      <c r="C57" s="9" t="n">
        <v>285319</v>
      </c>
      <c r="D57" s="9" t="n">
        <v>570638</v>
      </c>
      <c r="E57" s="23" t="n">
        <v>0.208</v>
      </c>
    </row>
    <row r="58">
      <c r="A58" s="4" t="inlineStr">
        <is>
          <t>Newfoundland and Labrador</t>
        </is>
      </c>
      <c r="B58" s="4" t="n">
        <v>7</v>
      </c>
      <c r="C58" s="9" t="n">
        <v>570638</v>
      </c>
      <c r="D58" s="9" t="n">
        <v>1141275</v>
      </c>
      <c r="E58" s="23" t="n">
        <v>0.213</v>
      </c>
    </row>
    <row r="59">
      <c r="A59" s="4" t="inlineStr">
        <is>
          <t>Newfoundland and Labrador</t>
        </is>
      </c>
      <c r="B59" s="4" t="n">
        <v>8</v>
      </c>
      <c r="C59" s="9" t="n">
        <v>1141275</v>
      </c>
      <c r="D59" s="9" t="inlineStr">
        <is>
          <t>no limit</t>
        </is>
      </c>
      <c r="E59" s="23" t="n">
        <v>0.218</v>
      </c>
    </row>
    <row r="60">
      <c r="A60" s="4" t="inlineStr">
        <is>
          <t>Yukon</t>
        </is>
      </c>
      <c r="B60" s="4" t="n">
        <v>1</v>
      </c>
      <c r="C60" s="9" t="n">
        <v>0</v>
      </c>
      <c r="D60" s="9" t="n">
        <v>58523</v>
      </c>
      <c r="E60" s="23" t="n">
        <v>0.064</v>
      </c>
    </row>
    <row r="61">
      <c r="A61" s="4" t="inlineStr">
        <is>
          <t>Yukon</t>
        </is>
      </c>
      <c r="B61" s="4" t="n">
        <v>2</v>
      </c>
      <c r="C61" s="9" t="n">
        <v>58523</v>
      </c>
      <c r="D61" s="9" t="n">
        <v>117045</v>
      </c>
      <c r="E61" s="23" t="n">
        <v>0.09</v>
      </c>
    </row>
    <row r="62">
      <c r="A62" s="4" t="inlineStr">
        <is>
          <t>Yukon</t>
        </is>
      </c>
      <c r="B62" s="4" t="n">
        <v>3</v>
      </c>
      <c r="C62" s="9" t="n">
        <v>117045</v>
      </c>
      <c r="D62" s="9" t="n">
        <v>181440</v>
      </c>
      <c r="E62" s="23" t="n">
        <v>0.109</v>
      </c>
    </row>
    <row r="63">
      <c r="A63" s="4" t="inlineStr">
        <is>
          <t>Yukon</t>
        </is>
      </c>
      <c r="B63" s="4" t="n">
        <v>4</v>
      </c>
      <c r="C63" s="9" t="n">
        <v>181440</v>
      </c>
      <c r="D63" s="9" t="n">
        <v>500000</v>
      </c>
      <c r="E63" s="23" t="n">
        <v>0.128</v>
      </c>
    </row>
    <row r="64">
      <c r="A64" s="4" t="inlineStr">
        <is>
          <t>Yukon</t>
        </is>
      </c>
      <c r="B64" s="4" t="n">
        <v>5</v>
      </c>
      <c r="C64" s="9" t="n">
        <v>500000</v>
      </c>
      <c r="D64" s="9" t="inlineStr">
        <is>
          <t>no limit</t>
        </is>
      </c>
      <c r="E64" s="23" t="n">
        <v>0.15</v>
      </c>
    </row>
    <row r="65">
      <c r="A65" s="4" t="inlineStr">
        <is>
          <t>Northwest Territories</t>
        </is>
      </c>
      <c r="B65" s="4" t="n">
        <v>1</v>
      </c>
      <c r="C65" s="9" t="n">
        <v>0</v>
      </c>
      <c r="D65" s="9" t="n">
        <v>53003</v>
      </c>
      <c r="E65" s="23" t="n">
        <v>0.059</v>
      </c>
    </row>
    <row r="66">
      <c r="A66" s="4" t="inlineStr">
        <is>
          <t>Northwest Territories</t>
        </is>
      </c>
      <c r="B66" s="4" t="n">
        <v>2</v>
      </c>
      <c r="C66" s="9" t="n">
        <v>53003</v>
      </c>
      <c r="D66" s="9" t="n">
        <v>106009</v>
      </c>
      <c r="E66" s="23" t="n">
        <v>0.08599999999999999</v>
      </c>
    </row>
    <row r="67">
      <c r="A67" s="4" t="inlineStr">
        <is>
          <t>Northwest Territories</t>
        </is>
      </c>
      <c r="B67" s="4" t="n">
        <v>3</v>
      </c>
      <c r="C67" s="9" t="n">
        <v>106009</v>
      </c>
      <c r="D67" s="9" t="n">
        <v>172346</v>
      </c>
      <c r="E67" s="23" t="n">
        <v>0.122</v>
      </c>
    </row>
    <row r="68">
      <c r="A68" s="4" t="inlineStr">
        <is>
          <t>Northwest Territories</t>
        </is>
      </c>
      <c r="B68" s="4" t="n">
        <v>4</v>
      </c>
      <c r="C68" s="9" t="n">
        <v>172346</v>
      </c>
      <c r="D68" s="9" t="inlineStr">
        <is>
          <t>no limit</t>
        </is>
      </c>
      <c r="E68" s="23" t="n">
        <v>0.1405</v>
      </c>
    </row>
    <row r="69">
      <c r="A69" s="4" t="inlineStr">
        <is>
          <t>Nunavut</t>
        </is>
      </c>
      <c r="B69" s="4" t="n">
        <v>1</v>
      </c>
      <c r="C69" s="9" t="n">
        <v>0</v>
      </c>
      <c r="D69" s="9" t="n">
        <v>55801</v>
      </c>
      <c r="E69" s="23" t="n">
        <v>0.04</v>
      </c>
    </row>
    <row r="70">
      <c r="A70" s="4" t="inlineStr">
        <is>
          <t>Nunavut</t>
        </is>
      </c>
      <c r="B70" s="4" t="n">
        <v>2</v>
      </c>
      <c r="C70" s="9" t="n">
        <v>55801</v>
      </c>
      <c r="D70" s="9" t="n">
        <v>111601</v>
      </c>
      <c r="E70" s="23" t="n">
        <v>0.07000000000000001</v>
      </c>
    </row>
    <row r="71">
      <c r="A71" s="4" t="inlineStr">
        <is>
          <t>Nunavut</t>
        </is>
      </c>
      <c r="B71" s="4" t="n">
        <v>3</v>
      </c>
      <c r="C71" s="9" t="n">
        <v>111601</v>
      </c>
      <c r="D71" s="9" t="n">
        <v>181439</v>
      </c>
      <c r="E71" s="23" t="n">
        <v>0.09</v>
      </c>
    </row>
    <row r="72">
      <c r="A72" s="4" t="inlineStr">
        <is>
          <t>Nunavut</t>
        </is>
      </c>
      <c r="B72" s="4" t="n">
        <v>4</v>
      </c>
      <c r="C72" s="9" t="n">
        <v>181439</v>
      </c>
      <c r="D72" s="9" t="inlineStr">
        <is>
          <t>no limit</t>
        </is>
      </c>
      <c r="E72" s="23" t="n">
        <v>0.115</v>
      </c>
    </row>
    <row r="74">
      <c r="A74" s="3" t="inlineStr">
        <is>
          <t>Basic personal amounts</t>
        </is>
      </c>
    </row>
    <row r="75">
      <c r="A75" s="8" t="inlineStr">
        <is>
          <t>Jurisdiction</t>
        </is>
      </c>
      <c r="B75" s="8" t="inlineStr">
        <is>
          <t>BPA</t>
        </is>
      </c>
    </row>
    <row r="76">
      <c r="A76" s="4" t="inlineStr">
        <is>
          <t>Canada (federal)</t>
        </is>
      </c>
      <c r="B76" s="9" t="n">
        <v>16452</v>
      </c>
      <c r="C76" s="2" t="inlineStr">
        <is>
          <t>Phases down to $14,829 between $181,440 and $258,482 of net income</t>
        </is>
      </c>
    </row>
    <row r="77">
      <c r="A77" s="4" t="inlineStr">
        <is>
          <t>Alberta</t>
        </is>
      </c>
      <c r="B77" s="9" t="n">
        <v>22769</v>
      </c>
    </row>
    <row r="78">
      <c r="A78" s="4" t="inlineStr">
        <is>
          <t>British Columbia</t>
        </is>
      </c>
      <c r="B78" s="9" t="n">
        <v>13217</v>
      </c>
    </row>
    <row r="79">
      <c r="A79" s="4" t="inlineStr">
        <is>
          <t>Saskatchewan</t>
        </is>
      </c>
      <c r="B79" s="9" t="n">
        <v>19371</v>
      </c>
    </row>
    <row r="80">
      <c r="A80" s="4" t="inlineStr">
        <is>
          <t>Manitoba</t>
        </is>
      </c>
      <c r="B80" s="9" t="n">
        <v>15780</v>
      </c>
    </row>
    <row r="81">
      <c r="A81" s="4" t="inlineStr">
        <is>
          <t>Ontario</t>
        </is>
      </c>
      <c r="B81" s="9" t="n">
        <v>12989</v>
      </c>
    </row>
    <row r="82">
      <c r="A82" s="4" t="inlineStr">
        <is>
          <t>Quebec</t>
        </is>
      </c>
      <c r="B82" s="9" t="n">
        <v>18952</v>
      </c>
    </row>
    <row r="83">
      <c r="A83" s="4" t="inlineStr">
        <is>
          <t>New Brunswick</t>
        </is>
      </c>
      <c r="B83" s="9" t="n">
        <v>13664</v>
      </c>
    </row>
    <row r="84">
      <c r="A84" s="4" t="inlineStr">
        <is>
          <t>Nova Scotia</t>
        </is>
      </c>
      <c r="B84" s="9" t="n">
        <v>11932</v>
      </c>
    </row>
    <row r="85">
      <c r="A85" s="4" t="inlineStr">
        <is>
          <t>Prince Edward Island</t>
        </is>
      </c>
      <c r="B85" s="9" t="inlineStr">
        <is>
          <t>n/a</t>
        </is>
      </c>
    </row>
    <row r="86">
      <c r="A86" s="4" t="inlineStr">
        <is>
          <t>Newfoundland and Labrador</t>
        </is>
      </c>
      <c r="B86" s="9" t="n">
        <v>11189</v>
      </c>
    </row>
    <row r="87">
      <c r="A87" s="4" t="inlineStr">
        <is>
          <t>Yukon</t>
        </is>
      </c>
      <c r="B87" s="9" t="n">
        <v>16452</v>
      </c>
      <c r="C87" s="2" t="inlineStr">
        <is>
          <t>Phases down to $14,829 between $181,440 and $258,482 of net income</t>
        </is>
      </c>
    </row>
    <row r="88">
      <c r="A88" s="4" t="inlineStr">
        <is>
          <t>Northwest Territories</t>
        </is>
      </c>
      <c r="B88" s="9" t="n">
        <v>18199</v>
      </c>
    </row>
    <row r="89">
      <c r="A89" s="4" t="inlineStr">
        <is>
          <t>Nunavut</t>
        </is>
      </c>
      <c r="B89" s="9" t="n">
        <v>19659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Sales Tax Rates 2026 — GST / HST / PST / QST</t>
        </is>
      </c>
    </row>
    <row r="2">
      <c r="A2" s="2" t="inlineStr">
        <is>
          <t>Source: data/json/sales_tax_2026.json.</t>
        </is>
      </c>
    </row>
    <row r="4">
      <c r="A4" s="8" t="inlineStr">
        <is>
          <t>Province/Territory</t>
        </is>
      </c>
      <c r="B4" s="8" t="inlineStr">
        <is>
          <t>System</t>
        </is>
      </c>
      <c r="C4" s="8" t="inlineStr">
        <is>
          <t>GST</t>
        </is>
      </c>
      <c r="D4" s="8" t="inlineStr">
        <is>
          <t>PST/QST</t>
        </is>
      </c>
      <c r="E4" s="8" t="inlineStr">
        <is>
          <t>HST</t>
        </is>
      </c>
      <c r="F4" s="8" t="inlineStr">
        <is>
          <t>Total</t>
        </is>
      </c>
    </row>
    <row r="5">
      <c r="A5" s="4" t="inlineStr">
        <is>
          <t>Alberta</t>
        </is>
      </c>
      <c r="B5" s="4" t="inlineStr">
        <is>
          <t>GST</t>
        </is>
      </c>
      <c r="C5" s="23" t="n">
        <v>0.05</v>
      </c>
      <c r="D5" s="23" t="n">
        <v>0</v>
      </c>
      <c r="E5" s="23" t="inlineStr">
        <is>
          <t>-</t>
        </is>
      </c>
      <c r="F5" s="23" t="n">
        <v>0.05</v>
      </c>
    </row>
    <row r="6">
      <c r="A6" s="4" t="inlineStr">
        <is>
          <t>British Columbia</t>
        </is>
      </c>
      <c r="B6" s="4" t="inlineStr">
        <is>
          <t>GST + PST</t>
        </is>
      </c>
      <c r="C6" s="23" t="n">
        <v>0.05</v>
      </c>
      <c r="D6" s="23" t="n">
        <v>0.07000000000000001</v>
      </c>
      <c r="E6" s="23" t="inlineStr">
        <is>
          <t>-</t>
        </is>
      </c>
      <c r="F6" s="23" t="n">
        <v>0.12</v>
      </c>
    </row>
    <row r="7">
      <c r="A7" s="4" t="inlineStr">
        <is>
          <t>Saskatchewan</t>
        </is>
      </c>
      <c r="B7" s="4" t="inlineStr">
        <is>
          <t>GST + PST</t>
        </is>
      </c>
      <c r="C7" s="23" t="n">
        <v>0.05</v>
      </c>
      <c r="D7" s="23" t="n">
        <v>0.06</v>
      </c>
      <c r="E7" s="23" t="inlineStr">
        <is>
          <t>-</t>
        </is>
      </c>
      <c r="F7" s="23" t="n">
        <v>0.11</v>
      </c>
    </row>
    <row r="8">
      <c r="A8" s="4" t="inlineStr">
        <is>
          <t>Manitoba</t>
        </is>
      </c>
      <c r="B8" s="4" t="inlineStr">
        <is>
          <t>GST + RST</t>
        </is>
      </c>
      <c r="C8" s="23" t="n">
        <v>0.05</v>
      </c>
      <c r="D8" s="23" t="n">
        <v>0.07000000000000001</v>
      </c>
      <c r="E8" s="23" t="inlineStr">
        <is>
          <t>-</t>
        </is>
      </c>
      <c r="F8" s="23" t="n">
        <v>0.12</v>
      </c>
    </row>
    <row r="9">
      <c r="A9" s="4" t="inlineStr">
        <is>
          <t>Ontario</t>
        </is>
      </c>
      <c r="B9" s="4" t="inlineStr">
        <is>
          <t>HST</t>
        </is>
      </c>
      <c r="C9" s="23" t="inlineStr">
        <is>
          <t>-</t>
        </is>
      </c>
      <c r="D9" s="23" t="inlineStr">
        <is>
          <t>-</t>
        </is>
      </c>
      <c r="E9" s="23" t="n">
        <v>0.13</v>
      </c>
      <c r="F9" s="23" t="n">
        <v>0.13</v>
      </c>
    </row>
    <row r="10">
      <c r="A10" s="4" t="inlineStr">
        <is>
          <t>Quebec</t>
        </is>
      </c>
      <c r="B10" s="4" t="inlineStr">
        <is>
          <t>GST + QST</t>
        </is>
      </c>
      <c r="C10" s="23" t="n">
        <v>0.05</v>
      </c>
      <c r="D10" s="23" t="n">
        <v>0.09975000000000001</v>
      </c>
      <c r="E10" s="23" t="inlineStr">
        <is>
          <t>-</t>
        </is>
      </c>
      <c r="F10" s="23" t="n">
        <v>0.14975</v>
      </c>
    </row>
    <row r="11">
      <c r="A11" s="4" t="inlineStr">
        <is>
          <t>New Brunswick</t>
        </is>
      </c>
      <c r="B11" s="4" t="inlineStr">
        <is>
          <t>HST</t>
        </is>
      </c>
      <c r="C11" s="23" t="inlineStr">
        <is>
          <t>-</t>
        </is>
      </c>
      <c r="D11" s="23" t="inlineStr">
        <is>
          <t>-</t>
        </is>
      </c>
      <c r="E11" s="23" t="n">
        <v>0.15</v>
      </c>
      <c r="F11" s="23" t="n">
        <v>0.15</v>
      </c>
    </row>
    <row r="12">
      <c r="A12" s="4" t="inlineStr">
        <is>
          <t>Nova Scotia</t>
        </is>
      </c>
      <c r="B12" s="4" t="inlineStr">
        <is>
          <t>HST</t>
        </is>
      </c>
      <c r="C12" s="23" t="inlineStr">
        <is>
          <t>-</t>
        </is>
      </c>
      <c r="D12" s="23" t="inlineStr">
        <is>
          <t>-</t>
        </is>
      </c>
      <c r="E12" s="23" t="n">
        <v>0.14</v>
      </c>
      <c r="F12" s="23" t="n">
        <v>0.14</v>
      </c>
      <c r="G12" s="2" t="inlineStr">
        <is>
          <t>HST reduced from 15% to 14% effective April 1, 2025.</t>
        </is>
      </c>
    </row>
    <row r="13">
      <c r="A13" s="4" t="inlineStr">
        <is>
          <t>Prince Edward Island</t>
        </is>
      </c>
      <c r="B13" s="4" t="inlineStr">
        <is>
          <t>HST</t>
        </is>
      </c>
      <c r="C13" s="23" t="inlineStr">
        <is>
          <t>-</t>
        </is>
      </c>
      <c r="D13" s="23" t="inlineStr">
        <is>
          <t>-</t>
        </is>
      </c>
      <c r="E13" s="23" t="n">
        <v>0.15</v>
      </c>
      <c r="F13" s="23" t="n">
        <v>0.15</v>
      </c>
    </row>
    <row r="14">
      <c r="A14" s="4" t="inlineStr">
        <is>
          <t>Newfoundland and Labrador</t>
        </is>
      </c>
      <c r="B14" s="4" t="inlineStr">
        <is>
          <t>HST</t>
        </is>
      </c>
      <c r="C14" s="23" t="inlineStr">
        <is>
          <t>-</t>
        </is>
      </c>
      <c r="D14" s="23" t="inlineStr">
        <is>
          <t>-</t>
        </is>
      </c>
      <c r="E14" s="23" t="n">
        <v>0.15</v>
      </c>
      <c r="F14" s="23" t="n">
        <v>0.15</v>
      </c>
    </row>
    <row r="15">
      <c r="A15" s="4" t="inlineStr">
        <is>
          <t>Yukon</t>
        </is>
      </c>
      <c r="B15" s="4" t="inlineStr">
        <is>
          <t>GST</t>
        </is>
      </c>
      <c r="C15" s="23" t="n">
        <v>0.05</v>
      </c>
      <c r="D15" s="23" t="n">
        <v>0</v>
      </c>
      <c r="E15" s="23" t="inlineStr">
        <is>
          <t>-</t>
        </is>
      </c>
      <c r="F15" s="23" t="n">
        <v>0.05</v>
      </c>
    </row>
    <row r="16">
      <c r="A16" s="4" t="inlineStr">
        <is>
          <t>Northwest Territories</t>
        </is>
      </c>
      <c r="B16" s="4" t="inlineStr">
        <is>
          <t>GST</t>
        </is>
      </c>
      <c r="C16" s="23" t="n">
        <v>0.05</v>
      </c>
      <c r="D16" s="23" t="n">
        <v>0</v>
      </c>
      <c r="E16" s="23" t="inlineStr">
        <is>
          <t>-</t>
        </is>
      </c>
      <c r="F16" s="23" t="n">
        <v>0.05</v>
      </c>
    </row>
    <row r="17">
      <c r="A17" s="4" t="inlineStr">
        <is>
          <t>Nunavut</t>
        </is>
      </c>
      <c r="B17" s="4" t="inlineStr">
        <is>
          <t>GST</t>
        </is>
      </c>
      <c r="C17" s="23" t="n">
        <v>0.05</v>
      </c>
      <c r="D17" s="23" t="n">
        <v>0</v>
      </c>
      <c r="E17" s="23" t="inlineStr">
        <is>
          <t>-</t>
        </is>
      </c>
      <c r="F17" s="23" t="n">
        <v>0.05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70" customWidth="1" min="3" max="3"/>
  </cols>
  <sheetData>
    <row r="1">
      <c r="A1" s="1" t="inlineStr">
        <is>
          <t>Payroll Contributions 2026 — CPP, CPP2, QPP, EI, QPIP</t>
        </is>
      </c>
    </row>
    <row r="2">
      <c r="A2" s="2" t="inlineStr">
        <is>
          <t>Source: data/json/payroll_contributions_2026.json.</t>
        </is>
      </c>
    </row>
    <row r="4">
      <c r="A4" s="11" t="inlineStr">
        <is>
          <t>Canada Pension Plan (base + first additional)</t>
        </is>
      </c>
      <c r="B4" s="12" t="n"/>
    </row>
    <row r="5">
      <c r="A5" s="4" t="inlineStr">
        <is>
          <t>ympe</t>
        </is>
      </c>
      <c r="B5" s="19" t="n">
        <v>74600</v>
      </c>
    </row>
    <row r="6">
      <c r="A6" s="4" t="inlineStr">
        <is>
          <t>basic exemption</t>
        </is>
      </c>
      <c r="B6" s="19" t="n">
        <v>3500</v>
      </c>
    </row>
    <row r="7">
      <c r="A7" s="4" t="inlineStr">
        <is>
          <t>employee rate</t>
        </is>
      </c>
      <c r="B7" s="24" t="n">
        <v>0.0595</v>
      </c>
    </row>
    <row r="8">
      <c r="A8" s="4" t="inlineStr">
        <is>
          <t>employer rate</t>
        </is>
      </c>
      <c r="B8" s="24" t="n">
        <v>0.0595</v>
      </c>
    </row>
    <row r="9">
      <c r="A9" s="4" t="inlineStr">
        <is>
          <t>self employed rate</t>
        </is>
      </c>
      <c r="B9" s="24" t="n">
        <v>0.119</v>
      </c>
    </row>
    <row r="10">
      <c r="A10" s="4" t="inlineStr">
        <is>
          <t>max employee contribution</t>
        </is>
      </c>
      <c r="B10" s="19" t="n">
        <v>4230.45</v>
      </c>
    </row>
    <row r="11">
      <c r="A11" s="4" t="inlineStr">
        <is>
          <t>max self employed contribution</t>
        </is>
      </c>
      <c r="B11" s="19" t="n">
        <v>8460.9</v>
      </c>
    </row>
    <row r="12">
      <c r="A12" s="6" t="inlineStr">
        <is>
          <t>YMPE (Year's Maximum Pensionable Earnings) rose from $71,300 in 2025 to $74,600 in 2026.</t>
        </is>
      </c>
    </row>
    <row r="14">
      <c r="A14" s="11" t="inlineStr">
        <is>
          <t>CPP second additional contribution (CPP2)</t>
        </is>
      </c>
      <c r="B14" s="12" t="n"/>
    </row>
    <row r="15">
      <c r="A15" s="4" t="inlineStr">
        <is>
          <t>yampe</t>
        </is>
      </c>
      <c r="B15" s="19" t="n">
        <v>85000</v>
      </c>
    </row>
    <row r="16">
      <c r="A16" s="4" t="inlineStr">
        <is>
          <t>employee rate</t>
        </is>
      </c>
      <c r="B16" s="24" t="n">
        <v>0.04</v>
      </c>
    </row>
    <row r="17">
      <c r="A17" s="4" t="inlineStr">
        <is>
          <t>employer rate</t>
        </is>
      </c>
      <c r="B17" s="24" t="n">
        <v>0.04</v>
      </c>
    </row>
    <row r="18">
      <c r="A18" s="4" t="inlineStr">
        <is>
          <t>self employed rate</t>
        </is>
      </c>
      <c r="B18" s="24" t="n">
        <v>0.08</v>
      </c>
    </row>
    <row r="19">
      <c r="A19" s="4" t="inlineStr">
        <is>
          <t>max employee contribution</t>
        </is>
      </c>
      <c r="B19" s="19" t="n">
        <v>416</v>
      </c>
    </row>
    <row r="20">
      <c r="A20" s="4" t="inlineStr">
        <is>
          <t>max self employed contribution</t>
        </is>
      </c>
      <c r="B20" s="19" t="n">
        <v>832</v>
      </c>
    </row>
    <row r="21">
      <c r="A21" s="6" t="inlineStr">
        <is>
          <t>Applies to pensionable earnings between the YMPE and the YAMPE (Year's Additional Maximum Pensionable Earnings, $85,000 in 2026, up from $81,200 in 2025).</t>
        </is>
      </c>
    </row>
    <row r="23">
      <c r="A23" s="11" t="inlineStr">
        <is>
          <t>Quebec Pension Plan (base + first additional)</t>
        </is>
      </c>
      <c r="B23" s="12" t="n"/>
    </row>
    <row r="24">
      <c r="A24" s="4" t="inlineStr">
        <is>
          <t>ympe</t>
        </is>
      </c>
      <c r="B24" s="19" t="n">
        <v>74600</v>
      </c>
    </row>
    <row r="25">
      <c r="A25" s="4" t="inlineStr">
        <is>
          <t>basic exemption</t>
        </is>
      </c>
      <c r="B25" s="19" t="n">
        <v>3500</v>
      </c>
    </row>
    <row r="26">
      <c r="A26" s="4" t="inlineStr">
        <is>
          <t>employee rate</t>
        </is>
      </c>
      <c r="B26" s="24" t="n">
        <v>0.063</v>
      </c>
    </row>
    <row r="27">
      <c r="A27" s="4" t="inlineStr">
        <is>
          <t>employer rate</t>
        </is>
      </c>
      <c r="B27" s="24" t="n">
        <v>0.063</v>
      </c>
    </row>
    <row r="28">
      <c r="A28" s="4" t="inlineStr">
        <is>
          <t>self employed rate</t>
        </is>
      </c>
      <c r="B28" s="24" t="n">
        <v>0.126</v>
      </c>
    </row>
    <row r="29">
      <c r="A29" s="4" t="inlineStr">
        <is>
          <t>max employee contribution</t>
        </is>
      </c>
      <c r="B29" s="19" t="n">
        <v>4479.3</v>
      </c>
    </row>
    <row r="30">
      <c r="A30" s="4" t="inlineStr">
        <is>
          <t>max self employed contribution</t>
        </is>
      </c>
      <c r="B30" s="19" t="n">
        <v>8958.6</v>
      </c>
    </row>
    <row r="31">
      <c r="A31" s="6" t="inlineStr">
        <is>
          <t>Quebec reduced the QPP first-tier rate to 6.30% for 2026 (it was 6.40% in 2025). Self-employed Quebec workers pay both halves (12.60%). QPP2 is a separate object in this file, mirroring the cpp2 shape.</t>
        </is>
      </c>
    </row>
    <row r="33">
      <c r="A33" s="11" t="inlineStr">
        <is>
          <t>QPP second additional contribution (QPP2)</t>
        </is>
      </c>
      <c r="B33" s="12" t="n"/>
    </row>
    <row r="34">
      <c r="A34" s="4" t="inlineStr">
        <is>
          <t>yampe</t>
        </is>
      </c>
      <c r="B34" s="19" t="n">
        <v>85000</v>
      </c>
    </row>
    <row r="35">
      <c r="A35" s="4" t="inlineStr">
        <is>
          <t>employee rate</t>
        </is>
      </c>
      <c r="B35" s="24" t="n">
        <v>0.04</v>
      </c>
    </row>
    <row r="36">
      <c r="A36" s="4" t="inlineStr">
        <is>
          <t>employer rate</t>
        </is>
      </c>
      <c r="B36" s="24" t="n">
        <v>0.04</v>
      </c>
    </row>
    <row r="37">
      <c r="A37" s="4" t="inlineStr">
        <is>
          <t>self employed rate</t>
        </is>
      </c>
      <c r="B37" s="24" t="n">
        <v>0.08</v>
      </c>
    </row>
    <row r="38">
      <c r="A38" s="4" t="inlineStr">
        <is>
          <t>max employee contribution</t>
        </is>
      </c>
      <c r="B38" s="19" t="n">
        <v>416</v>
      </c>
    </row>
    <row r="39">
      <c r="A39" s="4" t="inlineStr">
        <is>
          <t>max self employed contribution</t>
        </is>
      </c>
      <c r="B39" s="19" t="n">
        <v>832</v>
      </c>
    </row>
    <row r="40">
      <c r="A40" s="6" t="inlineStr">
        <is>
          <t>QPP2 mirrors CPP2: 4% employee (8% self-employed) on pensionable earnings between the YMPE and the YAMPE.</t>
        </is>
      </c>
    </row>
    <row r="42">
      <c r="A42" s="11" t="inlineStr">
        <is>
          <t>Employment Insurance</t>
        </is>
      </c>
      <c r="B42" s="12" t="n"/>
    </row>
    <row r="43">
      <c r="A43" s="4" t="inlineStr">
        <is>
          <t>maximum insurable earnings</t>
        </is>
      </c>
      <c r="B43" s="19" t="n">
        <v>68900</v>
      </c>
    </row>
    <row r="44">
      <c r="A44" s="4" t="inlineStr">
        <is>
          <t>employee rate</t>
        </is>
      </c>
      <c r="B44" s="24" t="n">
        <v>0.0163</v>
      </c>
    </row>
    <row r="45">
      <c r="A45" s="4" t="inlineStr">
        <is>
          <t>employer rate multiplier</t>
        </is>
      </c>
      <c r="B45" s="19" t="n">
        <v>1.4</v>
      </c>
    </row>
    <row r="46">
      <c r="A46" s="4" t="inlineStr">
        <is>
          <t>employer rate</t>
        </is>
      </c>
      <c r="B46" s="24" t="n">
        <v>0.02282</v>
      </c>
    </row>
    <row r="47">
      <c r="A47" s="4" t="inlineStr">
        <is>
          <t>max employee premium</t>
        </is>
      </c>
      <c r="B47" s="19" t="n">
        <v>1123.07</v>
      </c>
    </row>
    <row r="48">
      <c r="A48" s="4" t="inlineStr">
        <is>
          <t>max employer premium per employee</t>
        </is>
      </c>
      <c r="B48" s="19" t="n">
        <v>1572.3</v>
      </c>
    </row>
    <row r="49">
      <c r="A49" s="4" t="inlineStr">
        <is>
          <t>Quebec employee rate</t>
        </is>
      </c>
      <c r="B49" s="24" t="n">
        <v>0.013</v>
      </c>
    </row>
    <row r="50">
      <c r="A50" s="4" t="inlineStr">
        <is>
          <t>Quebec employer rate</t>
        </is>
      </c>
      <c r="B50" s="24" t="n">
        <v>0.0182</v>
      </c>
    </row>
    <row r="51">
      <c r="A51" s="4" t="inlineStr">
        <is>
          <t>Quebec max employee premium</t>
        </is>
      </c>
      <c r="B51" s="19" t="n">
        <v>895.7</v>
      </c>
    </row>
    <row r="52">
      <c r="A52" s="6" t="inlineStr">
        <is>
          <t>Maximum insurable earnings rose from $65,700 in 2025 to $68,900 in 2026; the employee rate is $1.63 per $100 of insurable earnings.</t>
        </is>
      </c>
    </row>
    <row r="54">
      <c r="A54" s="11" t="inlineStr">
        <is>
          <t>Quebec Parental Insurance Plan</t>
        </is>
      </c>
      <c r="B54" s="12" t="n"/>
    </row>
    <row r="55">
      <c r="A55" s="4" t="inlineStr">
        <is>
          <t>maximum insurable earnings</t>
        </is>
      </c>
      <c r="B55" s="19" t="n">
        <v>103000</v>
      </c>
    </row>
    <row r="56">
      <c r="A56" s="4" t="inlineStr">
        <is>
          <t>employee rate</t>
        </is>
      </c>
      <c r="B56" s="24" t="n">
        <v>0.0043</v>
      </c>
    </row>
    <row r="57">
      <c r="A57" s="4" t="inlineStr">
        <is>
          <t>employer rate</t>
        </is>
      </c>
      <c r="B57" s="24" t="n">
        <v>0.00602</v>
      </c>
    </row>
    <row r="58">
      <c r="A58" s="4" t="inlineStr">
        <is>
          <t>max employee premium</t>
        </is>
      </c>
      <c r="B58" s="19" t="n">
        <v>442.9</v>
      </c>
    </row>
    <row r="59">
      <c r="A59" s="4" t="inlineStr">
        <is>
          <t>max employer premium per employee</t>
        </is>
      </c>
      <c r="B59" s="19" t="n">
        <v>620.0599999999999</v>
      </c>
    </row>
    <row r="60">
      <c r="A60" s="6" t="inlineStr">
        <is>
          <t>QPIP premium rates fell for 2026 (employee rate from 0.494% to 0.430%) while the insurable earnings maximum rose to $103,000.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7" customWidth="1" min="3" max="3"/>
    <col width="12" customWidth="1" min="4" max="4"/>
    <col width="70" customWidth="1" min="5" max="5"/>
  </cols>
  <sheetData>
    <row r="1">
      <c r="A1" s="1" t="inlineStr">
        <is>
          <t>Corporate Income Tax Rates 2026</t>
        </is>
      </c>
    </row>
    <row r="2">
      <c r="A2" s="2" t="inlineStr">
        <is>
          <t>Source: data/json/corporate_income_tax_2026.json.</t>
        </is>
      </c>
    </row>
    <row r="4">
      <c r="A4" s="8" t="inlineStr">
        <is>
          <t>Jurisdiction</t>
        </is>
      </c>
      <c r="B4" s="8" t="inlineStr">
        <is>
          <t>General rate</t>
        </is>
      </c>
      <c r="C4" s="8" t="inlineStr">
        <is>
          <t>Small business rate</t>
        </is>
      </c>
      <c r="D4" s="8" t="inlineStr">
        <is>
          <t>SB limit</t>
        </is>
      </c>
      <c r="E4" s="8" t="inlineStr">
        <is>
          <t>Notes</t>
        </is>
      </c>
    </row>
    <row r="5">
      <c r="A5" s="4" t="inlineStr">
        <is>
          <t>Canada (federal)</t>
        </is>
      </c>
      <c r="B5" s="10" t="n">
        <v>0.15</v>
      </c>
      <c r="C5" s="10" t="n">
        <v>0.09</v>
      </c>
      <c r="D5" s="9" t="n">
        <v>500000</v>
      </c>
    </row>
    <row r="6">
      <c r="A6" s="4" t="inlineStr">
        <is>
          <t>Alberta</t>
        </is>
      </c>
      <c r="B6" s="10" t="n">
        <v>0.08</v>
      </c>
      <c r="C6" s="10" t="n">
        <v>0.02</v>
      </c>
      <c r="D6" s="9" t="n">
        <v>500000</v>
      </c>
    </row>
    <row r="7">
      <c r="A7" s="4" t="inlineStr">
        <is>
          <t>British Columbia</t>
        </is>
      </c>
      <c r="B7" s="10" t="n">
        <v>0.12</v>
      </c>
      <c r="C7" s="10" t="n">
        <v>0.02</v>
      </c>
      <c r="D7" s="9" t="n">
        <v>500000</v>
      </c>
    </row>
    <row r="8">
      <c r="A8" s="4" t="inlineStr">
        <is>
          <t>Saskatchewan</t>
        </is>
      </c>
      <c r="B8" s="10" t="n">
        <v>0.12</v>
      </c>
      <c r="C8" s="10" t="n">
        <v>0.01</v>
      </c>
      <c r="D8" s="9" t="n">
        <v>600000</v>
      </c>
      <c r="E8" s="6" t="inlineStr">
        <is>
          <t>Saskatchewan's 1% small-business rate was made permanent in 2025; its business limit is $600,000, the only province above $500,000.</t>
        </is>
      </c>
    </row>
    <row r="9">
      <c r="A9" s="4" t="inlineStr">
        <is>
          <t>Manitoba</t>
        </is>
      </c>
      <c r="B9" s="10" t="n">
        <v>0.12</v>
      </c>
      <c r="C9" s="10" t="n">
        <v>0</v>
      </c>
      <c r="D9" s="9" t="n">
        <v>500000</v>
      </c>
    </row>
    <row r="10">
      <c r="A10" s="4" t="inlineStr">
        <is>
          <t>Ontario</t>
        </is>
      </c>
      <c r="B10" s="10" t="n">
        <v>0.115</v>
      </c>
      <c r="C10" s="10" t="n">
        <v>0.032</v>
      </c>
      <c r="D10" s="9" t="n">
        <v>500000</v>
      </c>
      <c r="E10" s="6" t="inlineStr">
        <is>
          <t>Small-business rate reduced from 3.2% to 2.2% for taxation years beginning on or after July 1, 2026.</t>
        </is>
      </c>
    </row>
    <row r="11">
      <c r="A11" s="4" t="inlineStr">
        <is>
          <t>Quebec</t>
        </is>
      </c>
      <c r="B11" s="10" t="n">
        <v>0.115</v>
      </c>
      <c r="C11" s="10" t="n">
        <v>0.032</v>
      </c>
      <c r="D11" s="9" t="n">
        <v>500000</v>
      </c>
      <c r="E11" s="6" t="inlineStr">
        <is>
          <t>Small-business rate reduced from 3.2% to 2.2% for taxation years beginning after April 29, 2026. Quebec's small-business rate requires minimum employee paid-hours; corporations that do not qualify pay the general rate.</t>
        </is>
      </c>
    </row>
    <row r="12">
      <c r="A12" s="4" t="inlineStr">
        <is>
          <t>New Brunswick</t>
        </is>
      </c>
      <c r="B12" s="10" t="n">
        <v>0.14</v>
      </c>
      <c r="C12" s="10" t="n">
        <v>0.025</v>
      </c>
      <c r="D12" s="9" t="n">
        <v>500000</v>
      </c>
    </row>
    <row r="13">
      <c r="A13" s="4" t="inlineStr">
        <is>
          <t>Nova Scotia</t>
        </is>
      </c>
      <c r="B13" s="10" t="n">
        <v>0.14</v>
      </c>
      <c r="C13" s="10" t="n">
        <v>0.015</v>
      </c>
      <c r="D13" s="9" t="n">
        <v>500000</v>
      </c>
      <c r="E13" s="6" t="inlineStr">
        <is>
          <t>General rate cut from 16% to 14% and small-business rate from 2.5% to 1.5% effective April 1, 2025.</t>
        </is>
      </c>
    </row>
    <row r="14">
      <c r="A14" s="4" t="inlineStr">
        <is>
          <t>Prince Edward Island</t>
        </is>
      </c>
      <c r="B14" s="10" t="n">
        <v>0.16</v>
      </c>
      <c r="C14" s="10" t="n">
        <v>0.01</v>
      </c>
      <c r="D14" s="9" t="n">
        <v>500000</v>
      </c>
    </row>
    <row r="15">
      <c r="A15" s="4" t="inlineStr">
        <is>
          <t>Newfoundland and Labrador</t>
        </is>
      </c>
      <c r="B15" s="10" t="n">
        <v>0.15</v>
      </c>
      <c r="C15" s="10" t="n">
        <v>0.02</v>
      </c>
      <c r="D15" s="9" t="n">
        <v>500000</v>
      </c>
      <c r="E15" s="6" t="inlineStr">
        <is>
          <t>Small-business rate reduced from 2.5% to 2.0% effective January 1, 2026.</t>
        </is>
      </c>
    </row>
    <row r="16">
      <c r="A16" s="4" t="inlineStr">
        <is>
          <t>Yukon</t>
        </is>
      </c>
      <c r="B16" s="10" t="n">
        <v>0.12</v>
      </c>
      <c r="C16" s="10" t="n">
        <v>0</v>
      </c>
      <c r="D16" s="9" t="n">
        <v>500000</v>
      </c>
    </row>
    <row r="17">
      <c r="A17" s="4" t="inlineStr">
        <is>
          <t>Northwest Territories</t>
        </is>
      </c>
      <c r="B17" s="10" t="n">
        <v>0.115</v>
      </c>
      <c r="C17" s="10" t="n">
        <v>0.02</v>
      </c>
      <c r="D17" s="9" t="n">
        <v>500000</v>
      </c>
    </row>
    <row r="18">
      <c r="A18" s="4" t="inlineStr">
        <is>
          <t>Nunavut</t>
        </is>
      </c>
      <c r="B18" s="10" t="n">
        <v>0.12</v>
      </c>
      <c r="C18" s="10" t="n">
        <v>0.03</v>
      </c>
      <c r="D18" s="9" t="n">
        <v>500000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70" customWidth="1" min="3" max="3"/>
  </cols>
  <sheetData>
    <row r="1">
      <c r="A1" s="1" t="inlineStr">
        <is>
          <t>Key Credits, Registered Accounts &amp; System Parameters 2026</t>
        </is>
      </c>
    </row>
    <row r="2">
      <c r="A2" s="2" t="inlineStr">
        <is>
          <t>Source: data/json/credits_and_limits_2026.json.</t>
        </is>
      </c>
    </row>
    <row r="4">
      <c r="A4" s="4" t="inlineStr">
        <is>
          <t>TFSA annual limit</t>
        </is>
      </c>
      <c r="B4" s="9" t="n">
        <v>7000</v>
      </c>
      <c r="C4" s="6" t="inlineStr">
        <is>
          <t>Cumulative room applies to someone 18+ in 2009 who has never contributed.</t>
        </is>
      </c>
    </row>
    <row r="5">
      <c r="A5" s="4" t="inlineStr">
        <is>
          <t>TFSA cumulative room since 2009</t>
        </is>
      </c>
      <c r="B5" s="9" t="n">
        <v>109000</v>
      </c>
    </row>
    <row r="6">
      <c r="A6" s="4" t="inlineStr">
        <is>
          <t>RRSP annual limit</t>
        </is>
      </c>
      <c r="B6" s="9" t="n">
        <v>33810</v>
      </c>
      <c r="C6" s="6" t="inlineStr">
        <is>
          <t>18% of previous year's earned income, up to the annual limit; unused room carries forward indefinitely.</t>
        </is>
      </c>
    </row>
    <row r="7">
      <c r="A7" s="4" t="inlineStr">
        <is>
          <t>FHSA annual limit</t>
        </is>
      </c>
      <c r="B7" s="9" t="n">
        <v>8000</v>
      </c>
      <c r="C7" s="6" t="inlineStr">
        <is>
          <t>Maximum single-year contribution is $16,000 ($8,000 annual + $8,000 carried forward).</t>
        </is>
      </c>
    </row>
    <row r="8">
      <c r="A8" s="4" t="inlineStr">
        <is>
          <t>FHSA lifetime limit</t>
        </is>
      </c>
      <c r="B8" s="9" t="n">
        <v>40000</v>
      </c>
    </row>
    <row r="9">
      <c r="A9" s="4" t="inlineStr">
        <is>
          <t>Federal BPA (max)</t>
        </is>
      </c>
      <c r="B9" s="9" t="n">
        <v>16452</v>
      </c>
    </row>
    <row r="10">
      <c r="A10" s="4" t="inlineStr">
        <is>
          <t>Federal BPA (min, high income)</t>
        </is>
      </c>
      <c r="B10" s="9" t="n">
        <v>14829</v>
      </c>
    </row>
    <row r="11">
      <c r="A11" s="4" t="inlineStr">
        <is>
          <t>Federal credit rate</t>
        </is>
      </c>
      <c r="B11" s="10" t="n">
        <v>0.14</v>
      </c>
      <c r="C11" s="6" t="inlineStr">
        <is>
          <t>Federal non-refundable credits are valued at the lowest federal rate (14% in 2026). Provincial credits use each province's lowest rate.</t>
        </is>
      </c>
    </row>
    <row r="12">
      <c r="A12" s="4" t="inlineStr">
        <is>
          <t>OAS clawback threshold</t>
        </is>
      </c>
      <c r="B12" s="9" t="n">
        <v>95323</v>
      </c>
      <c r="C12" s="6" t="inlineStr">
        <is>
          <t>OAS recovery tax: 15% of net income above the threshold for the 2026 income year.</t>
        </is>
      </c>
    </row>
    <row r="13">
      <c r="A13" s="4" t="inlineStr">
        <is>
          <t>OAS recovery rate</t>
        </is>
      </c>
      <c r="B13" s="10" t="n">
        <v>0.15</v>
      </c>
    </row>
    <row r="14">
      <c r="A14" s="4" t="inlineStr">
        <is>
          <t>Capital gains inclusion rate</t>
        </is>
      </c>
      <c r="B14" s="10" t="n">
        <v>0.5</v>
      </c>
      <c r="C14" s="6" t="inlineStr">
        <is>
          <t>The proposed increase to a 2/3 inclusion rate was cancelled in March 2025; the rate remains 50%.</t>
        </is>
      </c>
    </row>
    <row r="15">
      <c r="A15" s="4" t="inlineStr">
        <is>
          <t>Lifetime capital gains exemption</t>
        </is>
      </c>
      <c r="B15" s="9" t="n">
        <v>1250000</v>
      </c>
    </row>
    <row r="16">
      <c r="A16" s="4" t="inlineStr">
        <is>
          <t>Quebec abatement rate</t>
        </is>
      </c>
      <c r="B16" s="10" t="n">
        <v>0.165</v>
      </c>
    </row>
    <row r="18">
      <c r="A18" s="6" t="inlineStr">
        <is>
          <t>Trading note: for an active/scalp trader, profits are business income — the capital gains inclusion rate does not apply. See docs/trader_taxation.md.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2026-09-22T20:59:07Z</dcterms:created>
  <dcterms:modified xsi:type="dcterms:W3CDTF">2026-09-22T20:59:07Z</dcterms:modified>
</cp:coreProperties>
</file>