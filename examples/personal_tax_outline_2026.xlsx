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Tax Data 2026" sheetId="2" state="visible" r:id="rId4"/>
    <sheet name="Tax Cal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No upper bound; 1,000,000,000 used so MIN() formulas work.</t>
        </r>
      </text>
    </comment>
    <comment ref="B19" authorId="0">
      <text>
        <r>
          <rPr>
            <sz val="10"/>
            <rFont val="Arial"/>
            <family val="2"/>
          </rPr>
          <t xml:space="preserve">No upper bound; 1,000,000,000 used so MIN() formulas work.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Rent x 12 x office share, capped at trading profit — business-use-of-home expenses cannot create a loss (unused amounts carry forward; carryforward not modelled).</t>
        </r>
      </text>
    </comment>
    <comment ref="B21" authorId="0">
      <text>
        <r>
          <rPr>
            <sz val="10"/>
            <rFont val="Arial"/>
            <family val="2"/>
          </rPr>
          <t xml:space="preserve">Simplification: the T1 deducts the employer half plus enhanced portions of self-employed CPP; 50% of the total is within ~$50 of the exact figure at these incomes.</t>
        </r>
      </text>
    </comment>
    <comment ref="B31" authorId="0">
      <text>
        <r>
          <rPr>
            <sz val="10"/>
            <rFont val="Arial"/>
            <family val="2"/>
          </rPr>
          <t xml:space="preserve">14% x (BPA + Canada employment amount + employee CPP + EI + employee half of self-employed CPP). Simplification: the enhanced-CPP slice is deductible rather than creditable on a real T1 — difference under $30 here. Federal BPA phase-out not modelled (starts at $181,440).</t>
        </r>
      </text>
    </comment>
    <comment ref="C7" authorId="0">
      <text>
        <r>
          <rPr>
            <sz val="10"/>
            <rFont val="Arial"/>
            <family val="2"/>
          </rPr>
          <t xml:space="preserve">Value provided by you (under $10,000; modelled at $10,000). Edit C7/D7/E7 freely; B7 stays 0 as the salary-only reference.</t>
        </r>
      </text>
    </comment>
    <comment ref="C17" authorId="0">
      <text>
        <r>
          <rPr>
            <sz val="10"/>
            <rFont val="Arial"/>
            <family val="2"/>
          </rPr>
          <t xml:space="preserve">11.9% (both halves) on trading income. Applies from dollar one: the $3,500 exemption is already used against your salary.</t>
        </r>
      </text>
    </comment>
    <comment ref="C51" authorId="0">
      <text>
        <r>
          <rPr>
            <sz val="10"/>
            <rFont val="Arial"/>
            <family val="2"/>
          </rPr>
          <t xml:space="preserve">Extra tax + CPP caused by the trading income — this is roughly your balance due at filing, since employer withholding covers the salary-only column.</t>
        </r>
      </text>
    </comment>
    <comment ref="E18" authorId="0">
      <text>
        <r>
          <rPr>
            <sz val="10"/>
            <rFont val="Arial"/>
            <family val="2"/>
          </rPr>
          <t xml:space="preserve">8% on earnings between the YMPE ($74,600) and YAMPE ($85,000). Only the $50k what-if reaches this band.</t>
        </r>
      </text>
    </comment>
  </commentList>
</comments>
</file>

<file path=xl/sharedStrings.xml><?xml version="1.0" encoding="utf-8"?>
<sst xmlns="http://schemas.openxmlformats.org/spreadsheetml/2006/main" count="97" uniqueCount="88">
  <si>
    <t xml:space="preserve">2026 Tax Outline — Inputs</t>
  </si>
  <si>
    <t xml:space="preserve">Alberta resident · employee salary + self-employed trading (business income)</t>
  </si>
  <si>
    <t xml:space="preserve">Edit the yellow cells:</t>
  </si>
  <si>
    <t xml:space="preserve">Hourly wage ($/hr)</t>
  </si>
  <si>
    <t xml:space="preserve">Your full-time job wage. Value provided by you.</t>
  </si>
  <si>
    <t xml:space="preserve">Hours per week</t>
  </si>
  <si>
    <t xml:space="preserve">Assumed full-time. Edit if different.</t>
  </si>
  <si>
    <t xml:space="preserve">Weeks paid per year</t>
  </si>
  <si>
    <t xml:space="preserve">Assumed paid 52 weeks. Edit if different.</t>
  </si>
  <si>
    <t xml:space="preserve">Monthly rent ($)</t>
  </si>
  <si>
    <t xml:space="preserve">Value provided by you. Used only for the home-office deduction.</t>
  </si>
  <si>
    <t xml:space="preserve">Home office share of rent</t>
  </si>
  <si>
    <t xml:space="preserve">Assumption: 15% of the home used principally for trading. Set to your actual workspace %; CRA expects a reasonable, documented figure.</t>
  </si>
  <si>
    <t xml:space="preserve">Other annual trading expenses ($)</t>
  </si>
  <si>
    <t xml:space="preserve">Data feeds, platform fees, hardware, etc. Deductible against trading profit.</t>
  </si>
  <si>
    <t xml:space="preserve">Legend</t>
  </si>
  <si>
    <t xml:space="preserve">Blue text on yellow</t>
  </si>
  <si>
    <t xml:space="preserve">Input — edit these (here and the trading-profit row on 'Tax Calc').</t>
  </si>
  <si>
    <t xml:space="preserve">Black text</t>
  </si>
  <si>
    <t xml:space="preserve">Formula — leave alone; recalculates from inputs.</t>
  </si>
  <si>
    <t xml:space="preserve">Green text</t>
  </si>
  <si>
    <t xml:space="preserve">Value pulled from another sheet.</t>
  </si>
  <si>
    <t xml:space="preserve">Example: at $22/hr, 40 hrs, 52 weeks, the salary computes to $45,760 on the Tax Calc sheet.</t>
  </si>
  <si>
    <t xml:space="preserve">2026 Tax Parameters (Canada + Alberta)</t>
  </si>
  <si>
    <t xml:space="preserve">Source: data/json/*.json in this repository (CRA/provincial figures, collected 2026-08-18 — see README.md for provenance).</t>
  </si>
  <si>
    <t xml:space="preserve">Federal brackets</t>
  </si>
  <si>
    <t xml:space="preserve">From</t>
  </si>
  <si>
    <t xml:space="preserve">To</t>
  </si>
  <si>
    <t xml:space="preserve">Rate</t>
  </si>
  <si>
    <t xml:space="preserve">Alberta brackets</t>
  </si>
  <si>
    <t xml:space="preserve">Other parameters</t>
  </si>
  <si>
    <t xml:space="preserve">Federal basic personal amount</t>
  </si>
  <si>
    <t xml:space="preserve">Maximum BPA; the phase-out starts at $181,440 net income — far above this model's incomes, so not modelled.</t>
  </si>
  <si>
    <t xml:space="preserve">Alberta basic personal amount</t>
  </si>
  <si>
    <t xml:space="preserve">Canada employment amount</t>
  </si>
  <si>
    <t xml:space="preserve">Estimate: 2025 amount $1,471 x 1.02 federal indexation, rounded. Federal credit base for employees.</t>
  </si>
  <si>
    <t xml:space="preserve">CPP YMPE</t>
  </si>
  <si>
    <t xml:space="preserve">CPP basic exemption</t>
  </si>
  <si>
    <t xml:space="preserve">CPP employee rate</t>
  </si>
  <si>
    <t xml:space="preserve">CPP self-employed rate</t>
  </si>
  <si>
    <t xml:space="preserve">CPP2 YAMPE</t>
  </si>
  <si>
    <t xml:space="preserve">CPP2 self-employed rate</t>
  </si>
  <si>
    <t xml:space="preserve">EI max insurable earnings</t>
  </si>
  <si>
    <t xml:space="preserve">EI employee rate</t>
  </si>
  <si>
    <t xml:space="preserve">No EI is payable (or claimable) on self-employment income unless you opt in.</t>
  </si>
  <si>
    <t xml:space="preserve">2026 Tax Calculation — Salary + Scalp Trading (Alberta)</t>
  </si>
  <si>
    <t xml:space="preserve">Column B is your salary with no trading (reference). C is your situation; D and E are what-if profit levels — all three yellow cells are editable.</t>
  </si>
  <si>
    <t xml:space="preserve">Salary only</t>
  </si>
  <si>
    <t xml:space="preserve">Your case</t>
  </si>
  <si>
    <t xml:space="preserve">What-if</t>
  </si>
  <si>
    <t xml:space="preserve">INCOME</t>
  </si>
  <si>
    <t xml:space="preserve">Trading profit (gross)</t>
  </si>
  <si>
    <t xml:space="preserve">Home office deduction</t>
  </si>
  <si>
    <t xml:space="preserve">Other trading expenses</t>
  </si>
  <si>
    <t xml:space="preserve">Net trading income</t>
  </si>
  <si>
    <t xml:space="preserve">Employment income</t>
  </si>
  <si>
    <t xml:space="preserve">Total income</t>
  </si>
  <si>
    <t xml:space="preserve">PAYROLL CONTRIBUTIONS</t>
  </si>
  <si>
    <t xml:space="preserve">Employee CPP (withheld from pay)</t>
  </si>
  <si>
    <t xml:space="preserve">EI premiums (withheld from pay)</t>
  </si>
  <si>
    <t xml:space="preserve">Self-employed CPP on trading</t>
  </si>
  <si>
    <t xml:space="preserve">Self-employed CPP2 on trading</t>
  </si>
  <si>
    <t xml:space="preserve">TAXABLE INCOME</t>
  </si>
  <si>
    <t xml:space="preserve">Deduction: half of self-employed CPP</t>
  </si>
  <si>
    <t xml:space="preserve">Taxable income</t>
  </si>
  <si>
    <t xml:space="preserve">FEDERAL TAX</t>
  </si>
  <si>
    <t xml:space="preserve">  Bracket 1</t>
  </si>
  <si>
    <t xml:space="preserve">  Bracket 2</t>
  </si>
  <si>
    <t xml:space="preserve">  Bracket 3</t>
  </si>
  <si>
    <t xml:space="preserve">  Bracket 4</t>
  </si>
  <si>
    <t xml:space="preserve">  Bracket 5</t>
  </si>
  <si>
    <t xml:space="preserve">Federal tax before credits</t>
  </si>
  <si>
    <t xml:space="preserve">Non-refundable credits (14%)</t>
  </si>
  <si>
    <t xml:space="preserve">Federal tax payable</t>
  </si>
  <si>
    <t xml:space="preserve">ALBERTA TAX</t>
  </si>
  <si>
    <t xml:space="preserve">  Bracket 6</t>
  </si>
  <si>
    <t xml:space="preserve">Alberta tax before credits</t>
  </si>
  <si>
    <t xml:space="preserve">Non-refundable credits (8%)</t>
  </si>
  <si>
    <t xml:space="preserve">Alberta tax payable</t>
  </si>
  <si>
    <t xml:space="preserve">RESULTS</t>
  </si>
  <si>
    <t xml:space="preserve">Total income tax</t>
  </si>
  <si>
    <t xml:space="preserve">Total tax + all CPP/EI</t>
  </si>
  <si>
    <t xml:space="preserve">After-tax income</t>
  </si>
  <si>
    <t xml:space="preserve">Average rate (on total income)</t>
  </si>
  <si>
    <t xml:space="preserve">Cost of trading vs salary-only</t>
  </si>
  <si>
    <t xml:space="preserve">Effective rate on trading profit</t>
  </si>
  <si>
    <t xml:space="preserve">Set aside per $100 of trading profit</t>
  </si>
  <si>
    <t xml:space="preserve">Notes: 2026 rules, Alberta resident, single filer, no other income/deductions. Employer withholding assumed to cover the salary-only liability. No EI on self-employment income (opt-in not assumed). Estimates for planning, not filing — see docs/trader_taxation.md.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</si>
</sst>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\$#,##0;&quot;($&quot;#,##0\);\-"/>
    <numFmt numFmtId="168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 t="n">
        <v>22</v>
      </c>
      <c r="C4" s="6" t="s">
        <v>4</v>
      </c>
    </row>
    <row r="5" customFormat="false" ht="15" hidden="false" customHeight="false" outlineLevel="0" collapsed="false">
      <c r="A5" s="4" t="s">
        <v>5</v>
      </c>
      <c r="B5" s="5" t="n">
        <v>40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v>52</v>
      </c>
      <c r="C6" s="6" t="s">
        <v>8</v>
      </c>
    </row>
    <row r="7" customFormat="false" ht="15" hidden="false" customHeight="false" outlineLevel="0" collapsed="false">
      <c r="A7" s="4" t="s">
        <v>9</v>
      </c>
      <c r="B7" s="5" t="n">
        <v>1375</v>
      </c>
      <c r="C7" s="6" t="s">
        <v>10</v>
      </c>
    </row>
    <row r="8" customFormat="false" ht="22.35" hidden="false" customHeight="false" outlineLevel="0" collapsed="false">
      <c r="A8" s="4" t="s">
        <v>11</v>
      </c>
      <c r="B8" s="7" t="n">
        <v>0.15</v>
      </c>
      <c r="C8" s="6" t="s">
        <v>12</v>
      </c>
    </row>
    <row r="9" customFormat="false" ht="15" hidden="false" customHeight="false" outlineLevel="0" collapsed="false">
      <c r="A9" s="4" t="s">
        <v>13</v>
      </c>
      <c r="B9" s="5" t="n">
        <v>0</v>
      </c>
      <c r="C9" s="6" t="s">
        <v>14</v>
      </c>
    </row>
    <row r="11" customFormat="false" ht="15" hidden="false" customHeight="false" outlineLevel="0" collapsed="false">
      <c r="A11" s="3" t="s">
        <v>15</v>
      </c>
    </row>
    <row r="12" customFormat="false" ht="15" hidden="false" customHeight="false" outlineLevel="0" collapsed="false">
      <c r="A12" s="4" t="s">
        <v>16</v>
      </c>
      <c r="C12" s="2" t="s">
        <v>17</v>
      </c>
    </row>
    <row r="13" customFormat="false" ht="15" hidden="false" customHeight="false" outlineLevel="0" collapsed="false">
      <c r="A13" s="4" t="s">
        <v>18</v>
      </c>
      <c r="C13" s="2" t="s">
        <v>19</v>
      </c>
    </row>
    <row r="14" customFormat="false" ht="15" hidden="false" customHeight="false" outlineLevel="0" collapsed="false">
      <c r="A14" s="4" t="s">
        <v>20</v>
      </c>
      <c r="C14" s="2" t="s">
        <v>21</v>
      </c>
    </row>
    <row r="16" customFormat="false" ht="15" hidden="false" customHeight="false" outlineLevel="0" collapsed="false">
      <c r="A1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6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15" hidden="false" customHeight="false" outlineLevel="0" collapsed="false">
      <c r="A4" s="3" t="s">
        <v>25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28</v>
      </c>
    </row>
    <row r="6" customFormat="false" ht="15" hidden="false" customHeight="false" outlineLevel="0" collapsed="false">
      <c r="A6" s="9" t="n">
        <v>0</v>
      </c>
      <c r="B6" s="9" t="n">
        <v>58523</v>
      </c>
      <c r="C6" s="10" t="n">
        <v>0.14</v>
      </c>
    </row>
    <row r="7" customFormat="false" ht="15" hidden="false" customHeight="false" outlineLevel="0" collapsed="false">
      <c r="A7" s="9" t="n">
        <v>58523</v>
      </c>
      <c r="B7" s="9" t="n">
        <v>117045</v>
      </c>
      <c r="C7" s="10" t="n">
        <v>0.205</v>
      </c>
    </row>
    <row r="8" customFormat="false" ht="15" hidden="false" customHeight="false" outlineLevel="0" collapsed="false">
      <c r="A8" s="9" t="n">
        <v>117045</v>
      </c>
      <c r="B8" s="9" t="n">
        <v>181440</v>
      </c>
      <c r="C8" s="10" t="n">
        <v>0.26</v>
      </c>
    </row>
    <row r="9" customFormat="false" ht="15" hidden="false" customHeight="false" outlineLevel="0" collapsed="false">
      <c r="A9" s="9" t="n">
        <v>181440</v>
      </c>
      <c r="B9" s="9" t="n">
        <v>258482</v>
      </c>
      <c r="C9" s="10" t="n">
        <v>0.29</v>
      </c>
    </row>
    <row r="10" customFormat="false" ht="15" hidden="false" customHeight="false" outlineLevel="0" collapsed="false">
      <c r="A10" s="9" t="n">
        <v>258482</v>
      </c>
      <c r="B10" s="9" t="n">
        <v>1000000000</v>
      </c>
      <c r="C10" s="10" t="n">
        <v>0.33</v>
      </c>
    </row>
    <row r="12" customFormat="false" ht="15" hidden="false" customHeight="false" outlineLevel="0" collapsed="false">
      <c r="A12" s="3" t="s">
        <v>29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28</v>
      </c>
    </row>
    <row r="14" customFormat="false" ht="15" hidden="false" customHeight="false" outlineLevel="0" collapsed="false">
      <c r="A14" s="9" t="n">
        <v>0</v>
      </c>
      <c r="B14" s="9" t="n">
        <v>61200</v>
      </c>
      <c r="C14" s="10" t="n">
        <v>0.08</v>
      </c>
    </row>
    <row r="15" customFormat="false" ht="15" hidden="false" customHeight="false" outlineLevel="0" collapsed="false">
      <c r="A15" s="9" t="n">
        <v>61200</v>
      </c>
      <c r="B15" s="9" t="n">
        <v>151234</v>
      </c>
      <c r="C15" s="10" t="n">
        <v>0.1</v>
      </c>
    </row>
    <row r="16" customFormat="false" ht="15" hidden="false" customHeight="false" outlineLevel="0" collapsed="false">
      <c r="A16" s="9" t="n">
        <v>151234</v>
      </c>
      <c r="B16" s="9" t="n">
        <v>181480</v>
      </c>
      <c r="C16" s="10" t="n">
        <v>0.12</v>
      </c>
    </row>
    <row r="17" customFormat="false" ht="15" hidden="false" customHeight="false" outlineLevel="0" collapsed="false">
      <c r="A17" s="9" t="n">
        <v>181480</v>
      </c>
      <c r="B17" s="9" t="n">
        <v>241975</v>
      </c>
      <c r="C17" s="10" t="n">
        <v>0.13</v>
      </c>
    </row>
    <row r="18" customFormat="false" ht="15" hidden="false" customHeight="false" outlineLevel="0" collapsed="false">
      <c r="A18" s="9" t="n">
        <v>241975</v>
      </c>
      <c r="B18" s="9" t="n">
        <v>362962</v>
      </c>
      <c r="C18" s="10" t="n">
        <v>0.14</v>
      </c>
    </row>
    <row r="19" customFormat="false" ht="15" hidden="false" customHeight="false" outlineLevel="0" collapsed="false">
      <c r="A19" s="9" t="n">
        <v>362962</v>
      </c>
      <c r="B19" s="9" t="n">
        <v>1000000000</v>
      </c>
      <c r="C19" s="10" t="n">
        <v>0.15</v>
      </c>
    </row>
    <row r="21" customFormat="false" ht="15" hidden="false" customHeight="false" outlineLevel="0" collapsed="false">
      <c r="A21" s="3" t="s">
        <v>30</v>
      </c>
    </row>
    <row r="22" customFormat="false" ht="22.35" hidden="false" customHeight="false" outlineLevel="0" collapsed="false">
      <c r="A22" s="4" t="s">
        <v>31</v>
      </c>
      <c r="B22" s="9" t="n">
        <v>16452</v>
      </c>
      <c r="E22" s="6" t="s">
        <v>32</v>
      </c>
    </row>
    <row r="23" customFormat="false" ht="15" hidden="false" customHeight="false" outlineLevel="0" collapsed="false">
      <c r="A23" s="4" t="s">
        <v>33</v>
      </c>
      <c r="B23" s="9" t="n">
        <v>22769</v>
      </c>
    </row>
    <row r="24" customFormat="false" ht="15" hidden="false" customHeight="false" outlineLevel="0" collapsed="false">
      <c r="A24" s="4" t="s">
        <v>34</v>
      </c>
      <c r="B24" s="9" t="n">
        <v>1500</v>
      </c>
      <c r="E24" s="6" t="s">
        <v>35</v>
      </c>
    </row>
    <row r="25" customFormat="false" ht="15" hidden="false" customHeight="false" outlineLevel="0" collapsed="false">
      <c r="A25" s="4" t="s">
        <v>36</v>
      </c>
      <c r="B25" s="9" t="n">
        <v>74600</v>
      </c>
    </row>
    <row r="26" customFormat="false" ht="15" hidden="false" customHeight="false" outlineLevel="0" collapsed="false">
      <c r="A26" s="4" t="s">
        <v>37</v>
      </c>
      <c r="B26" s="9" t="n">
        <v>3500</v>
      </c>
    </row>
    <row r="27" customFormat="false" ht="15" hidden="false" customHeight="false" outlineLevel="0" collapsed="false">
      <c r="A27" s="4" t="s">
        <v>38</v>
      </c>
      <c r="B27" s="10" t="n">
        <v>0.0595</v>
      </c>
    </row>
    <row r="28" customFormat="false" ht="15" hidden="false" customHeight="false" outlineLevel="0" collapsed="false">
      <c r="A28" s="4" t="s">
        <v>39</v>
      </c>
      <c r="B28" s="10" t="n">
        <v>0.119</v>
      </c>
    </row>
    <row r="29" customFormat="false" ht="15" hidden="false" customHeight="false" outlineLevel="0" collapsed="false">
      <c r="A29" s="4" t="s">
        <v>40</v>
      </c>
      <c r="B29" s="9" t="n">
        <v>85000</v>
      </c>
    </row>
    <row r="30" customFormat="false" ht="15" hidden="false" customHeight="false" outlineLevel="0" collapsed="false">
      <c r="A30" s="4" t="s">
        <v>41</v>
      </c>
      <c r="B30" s="10" t="n">
        <v>0.08</v>
      </c>
    </row>
    <row r="31" customFormat="false" ht="15" hidden="false" customHeight="false" outlineLevel="0" collapsed="false">
      <c r="A31" s="4" t="s">
        <v>42</v>
      </c>
      <c r="B31" s="9" t="n">
        <v>68900</v>
      </c>
    </row>
    <row r="32" customFormat="false" ht="15" hidden="false" customHeight="false" outlineLevel="0" collapsed="false">
      <c r="A32" s="4" t="s">
        <v>43</v>
      </c>
      <c r="B32" s="10" t="n">
        <v>0.0163</v>
      </c>
      <c r="E32" s="6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A4" s="8"/>
      <c r="B4" s="8" t="s">
        <v>47</v>
      </c>
      <c r="C4" s="8" t="s">
        <v>48</v>
      </c>
      <c r="D4" s="8" t="s">
        <v>49</v>
      </c>
      <c r="E4" s="8" t="s">
        <v>49</v>
      </c>
    </row>
    <row r="6" customFormat="false" ht="15" hidden="false" customHeight="false" outlineLevel="0" collapsed="false">
      <c r="A6" s="11" t="s">
        <v>50</v>
      </c>
      <c r="B6" s="12"/>
      <c r="C6" s="12"/>
      <c r="D6" s="12"/>
      <c r="E6" s="12"/>
    </row>
    <row r="7" customFormat="false" ht="15" hidden="false" customHeight="false" outlineLevel="0" collapsed="false">
      <c r="A7" s="13" t="s">
        <v>51</v>
      </c>
      <c r="B7" s="9" t="n">
        <v>0</v>
      </c>
      <c r="C7" s="14" t="n">
        <v>10000</v>
      </c>
      <c r="D7" s="14" t="n">
        <v>25000</v>
      </c>
      <c r="E7" s="14" t="n">
        <v>50000</v>
      </c>
    </row>
    <row r="8" customFormat="false" ht="15" hidden="false" customHeight="false" outlineLevel="0" collapsed="false">
      <c r="A8" s="15" t="s">
        <v>52</v>
      </c>
      <c r="B8" s="16" t="n">
        <f aca="false">-MIN(Inputs!$B$7*12*Inputs!$B$8,B7)</f>
        <v>-0</v>
      </c>
      <c r="C8" s="16" t="n">
        <f aca="false">-MIN(Inputs!$B$7*12*Inputs!$B$8,C7)</f>
        <v>-2475</v>
      </c>
      <c r="D8" s="16" t="n">
        <f aca="false">-MIN(Inputs!$B$7*12*Inputs!$B$8,D7)</f>
        <v>-2475</v>
      </c>
      <c r="E8" s="16" t="n">
        <f aca="false">-MIN(Inputs!$B$7*12*Inputs!$B$8,E7)</f>
        <v>-2475</v>
      </c>
    </row>
    <row r="9" customFormat="false" ht="15" hidden="false" customHeight="false" outlineLevel="0" collapsed="false">
      <c r="A9" s="15" t="s">
        <v>53</v>
      </c>
      <c r="B9" s="16" t="n">
        <f aca="false">-MIN(Inputs!$B$9,B7+B8)</f>
        <v>-0</v>
      </c>
      <c r="C9" s="16" t="n">
        <f aca="false">-MIN(Inputs!$B$9,C7+C8)</f>
        <v>-0</v>
      </c>
      <c r="D9" s="16" t="n">
        <f aca="false">-MIN(Inputs!$B$9,D7+D8)</f>
        <v>-0</v>
      </c>
      <c r="E9" s="16" t="n">
        <f aca="false">-MIN(Inputs!$B$9,E7+E8)</f>
        <v>-0</v>
      </c>
    </row>
    <row r="10" customFormat="false" ht="15" hidden="false" customHeight="false" outlineLevel="0" collapsed="false">
      <c r="A10" s="3" t="s">
        <v>54</v>
      </c>
      <c r="B10" s="17" t="n">
        <f aca="false">B7+B8+B9</f>
        <v>0</v>
      </c>
      <c r="C10" s="17" t="n">
        <f aca="false">C7+C8+C9</f>
        <v>7525</v>
      </c>
      <c r="D10" s="17" t="n">
        <f aca="false">D7+D8+D9</f>
        <v>22525</v>
      </c>
      <c r="E10" s="17" t="n">
        <f aca="false">E7+E8+E9</f>
        <v>47525</v>
      </c>
    </row>
    <row r="11" customFormat="false" ht="15" hidden="false" customHeight="false" outlineLevel="0" collapsed="false">
      <c r="A11" s="15" t="s">
        <v>55</v>
      </c>
      <c r="B11" s="16" t="n">
        <f aca="false">Inputs!$B$4*Inputs!$B$5*Inputs!$B$6</f>
        <v>45760</v>
      </c>
      <c r="C11" s="16" t="n">
        <f aca="false">$B$11</f>
        <v>45760</v>
      </c>
      <c r="D11" s="16" t="n">
        <f aca="false">$B$11</f>
        <v>45760</v>
      </c>
      <c r="E11" s="16" t="n">
        <f aca="false">$B$11</f>
        <v>45760</v>
      </c>
    </row>
    <row r="12" customFormat="false" ht="15" hidden="false" customHeight="false" outlineLevel="0" collapsed="false">
      <c r="A12" s="3" t="s">
        <v>56</v>
      </c>
      <c r="B12" s="17" t="n">
        <f aca="false">B10+B11</f>
        <v>45760</v>
      </c>
      <c r="C12" s="17" t="n">
        <f aca="false">C10+C11</f>
        <v>53285</v>
      </c>
      <c r="D12" s="17" t="n">
        <f aca="false">D10+D11</f>
        <v>68285</v>
      </c>
      <c r="E12" s="17" t="n">
        <f aca="false">E10+E11</f>
        <v>93285</v>
      </c>
    </row>
    <row r="14" customFormat="false" ht="15" hidden="false" customHeight="false" outlineLevel="0" collapsed="false">
      <c r="A14" s="11" t="s">
        <v>57</v>
      </c>
      <c r="B14" s="12"/>
      <c r="C14" s="12"/>
      <c r="D14" s="12"/>
      <c r="E14" s="12"/>
    </row>
    <row r="15" customFormat="false" ht="15" hidden="false" customHeight="false" outlineLevel="0" collapsed="false">
      <c r="A15" s="15" t="s">
        <v>58</v>
      </c>
      <c r="B15" s="18" t="n">
        <f aca="false">(MIN(B11,'Tax Data 2026'!$B$25)-'Tax Data 2026'!$B$26)*'Tax Data 2026'!$B$27</f>
        <v>2514.47</v>
      </c>
      <c r="C15" s="18" t="n">
        <f aca="false">(MIN(C11,'Tax Data 2026'!$B$25)-'Tax Data 2026'!$B$26)*'Tax Data 2026'!$B$27</f>
        <v>2514.47</v>
      </c>
      <c r="D15" s="18" t="n">
        <f aca="false">(MIN(D11,'Tax Data 2026'!$B$25)-'Tax Data 2026'!$B$26)*'Tax Data 2026'!$B$27</f>
        <v>2514.47</v>
      </c>
      <c r="E15" s="18" t="n">
        <f aca="false">(MIN(E11,'Tax Data 2026'!$B$25)-'Tax Data 2026'!$B$26)*'Tax Data 2026'!$B$27</f>
        <v>2514.47</v>
      </c>
    </row>
    <row r="16" customFormat="false" ht="15" hidden="false" customHeight="false" outlineLevel="0" collapsed="false">
      <c r="A16" s="15" t="s">
        <v>59</v>
      </c>
      <c r="B16" s="18" t="n">
        <f aca="false">MIN(B11,'Tax Data 2026'!$B$31)*'Tax Data 2026'!$B$32</f>
        <v>745.888</v>
      </c>
      <c r="C16" s="18" t="n">
        <f aca="false">MIN(C11,'Tax Data 2026'!$B$31)*'Tax Data 2026'!$B$32</f>
        <v>745.888</v>
      </c>
      <c r="D16" s="18" t="n">
        <f aca="false">MIN(D11,'Tax Data 2026'!$B$31)*'Tax Data 2026'!$B$32</f>
        <v>745.888</v>
      </c>
      <c r="E16" s="18" t="n">
        <f aca="false">MIN(E11,'Tax Data 2026'!$B$31)*'Tax Data 2026'!$B$32</f>
        <v>745.888</v>
      </c>
    </row>
    <row r="17" customFormat="false" ht="15" hidden="false" customHeight="false" outlineLevel="0" collapsed="false">
      <c r="A17" s="15" t="s">
        <v>60</v>
      </c>
      <c r="B17" s="18" t="n">
        <f aca="false">(MIN(B11+B10,'Tax Data 2026'!$B$25)-MIN(B11,'Tax Data 2026'!$B$25))*'Tax Data 2026'!$B$28</f>
        <v>0</v>
      </c>
      <c r="C17" s="18" t="n">
        <f aca="false">(MIN(C11+C10,'Tax Data 2026'!$B$25)-MIN(C11,'Tax Data 2026'!$B$25))*'Tax Data 2026'!$B$28</f>
        <v>895.475</v>
      </c>
      <c r="D17" s="18" t="n">
        <f aca="false">(MIN(D11+D10,'Tax Data 2026'!$B$25)-MIN(D11,'Tax Data 2026'!$B$25))*'Tax Data 2026'!$B$28</f>
        <v>2680.475</v>
      </c>
      <c r="E17" s="18" t="n">
        <f aca="false">(MIN(E11+E10,'Tax Data 2026'!$B$25)-MIN(E11,'Tax Data 2026'!$B$25))*'Tax Data 2026'!$B$28</f>
        <v>3431.96</v>
      </c>
    </row>
    <row r="18" customFormat="false" ht="15" hidden="false" customHeight="false" outlineLevel="0" collapsed="false">
      <c r="A18" s="15" t="s">
        <v>61</v>
      </c>
      <c r="B18" s="18" t="n">
        <f aca="false">MAX(0,MIN(B11+B10,'Tax Data 2026'!$B$29)-MAX(B11,'Tax Data 2026'!$B$25))*'Tax Data 2026'!$B$30</f>
        <v>0</v>
      </c>
      <c r="C18" s="18" t="n">
        <f aca="false">MAX(0,MIN(C11+C10,'Tax Data 2026'!$B$29)-MAX(C11,'Tax Data 2026'!$B$25))*'Tax Data 2026'!$B$30</f>
        <v>0</v>
      </c>
      <c r="D18" s="18" t="n">
        <f aca="false">MAX(0,MIN(D11+D10,'Tax Data 2026'!$B$29)-MAX(D11,'Tax Data 2026'!$B$25))*'Tax Data 2026'!$B$30</f>
        <v>0</v>
      </c>
      <c r="E18" s="18" t="n">
        <f aca="false">MAX(0,MIN(E11+E10,'Tax Data 2026'!$B$29)-MAX(E11,'Tax Data 2026'!$B$25))*'Tax Data 2026'!$B$30</f>
        <v>832</v>
      </c>
    </row>
    <row r="20" customFormat="false" ht="15" hidden="false" customHeight="false" outlineLevel="0" collapsed="false">
      <c r="A20" s="11" t="s">
        <v>62</v>
      </c>
      <c r="B20" s="12"/>
      <c r="C20" s="12"/>
      <c r="D20" s="12"/>
      <c r="E20" s="12"/>
    </row>
    <row r="21" customFormat="false" ht="15" hidden="false" customHeight="false" outlineLevel="0" collapsed="false">
      <c r="A21" s="4" t="s">
        <v>63</v>
      </c>
      <c r="B21" s="19" t="n">
        <f aca="false">-0.5*(B17+B18)</f>
        <v>-0</v>
      </c>
      <c r="C21" s="19" t="n">
        <f aca="false">-0.5*(C17+C18)</f>
        <v>-447.7375</v>
      </c>
      <c r="D21" s="19" t="n">
        <f aca="false">-0.5*(D17+D18)</f>
        <v>-1340.2375</v>
      </c>
      <c r="E21" s="19" t="n">
        <f aca="false">-0.5*(E17+E18)</f>
        <v>-2131.98</v>
      </c>
    </row>
    <row r="22" customFormat="false" ht="15" hidden="false" customHeight="false" outlineLevel="0" collapsed="false">
      <c r="A22" s="3" t="s">
        <v>64</v>
      </c>
      <c r="B22" s="17" t="n">
        <f aca="false">B12+B21</f>
        <v>45760</v>
      </c>
      <c r="C22" s="17" t="n">
        <f aca="false">C12+C21</f>
        <v>52837.2625</v>
      </c>
      <c r="D22" s="17" t="n">
        <f aca="false">D12+D21</f>
        <v>66944.7625</v>
      </c>
      <c r="E22" s="17" t="n">
        <f aca="false">E12+E21</f>
        <v>91153.02</v>
      </c>
    </row>
    <row r="24" customFormat="false" ht="15" hidden="false" customHeight="false" outlineLevel="0" collapsed="false">
      <c r="A24" s="11" t="s">
        <v>65</v>
      </c>
      <c r="B24" s="12"/>
      <c r="C24" s="12"/>
      <c r="D24" s="12"/>
      <c r="E24" s="12"/>
    </row>
    <row r="25" customFormat="false" ht="15" hidden="false" customHeight="false" outlineLevel="0" collapsed="false">
      <c r="A25" s="4" t="s">
        <v>66</v>
      </c>
      <c r="B25" s="19" t="n">
        <f aca="false">MAX(0,MIN(B$22,'Tax Data 2026'!$B$6)-'Tax Data 2026'!$A$6)*'Tax Data 2026'!$C$6</f>
        <v>6406.4</v>
      </c>
      <c r="C25" s="19" t="n">
        <f aca="false">MAX(0,MIN(C$22,'Tax Data 2026'!$B$6)-'Tax Data 2026'!$A$6)*'Tax Data 2026'!$C$6</f>
        <v>7397.21675</v>
      </c>
      <c r="D25" s="19" t="n">
        <f aca="false">MAX(0,MIN(D$22,'Tax Data 2026'!$B$6)-'Tax Data 2026'!$A$6)*'Tax Data 2026'!$C$6</f>
        <v>8193.22</v>
      </c>
      <c r="E25" s="19" t="n">
        <f aca="false">MAX(0,MIN(E$22,'Tax Data 2026'!$B$6)-'Tax Data 2026'!$A$6)*'Tax Data 2026'!$C$6</f>
        <v>8193.22</v>
      </c>
    </row>
    <row r="26" customFormat="false" ht="15" hidden="false" customHeight="false" outlineLevel="0" collapsed="false">
      <c r="A26" s="4" t="s">
        <v>67</v>
      </c>
      <c r="B26" s="19" t="n">
        <f aca="false">MAX(0,MIN(B$22,'Tax Data 2026'!$B$7)-'Tax Data 2026'!$A$7)*'Tax Data 2026'!$C$7</f>
        <v>0</v>
      </c>
      <c r="C26" s="19" t="n">
        <f aca="false">MAX(0,MIN(C$22,'Tax Data 2026'!$B$7)-'Tax Data 2026'!$A$7)*'Tax Data 2026'!$C$7</f>
        <v>0</v>
      </c>
      <c r="D26" s="19" t="n">
        <f aca="false">MAX(0,MIN(D$22,'Tax Data 2026'!$B$7)-'Tax Data 2026'!$A$7)*'Tax Data 2026'!$C$7</f>
        <v>1726.4613125</v>
      </c>
      <c r="E26" s="19" t="n">
        <f aca="false">MAX(0,MIN(E$22,'Tax Data 2026'!$B$7)-'Tax Data 2026'!$A$7)*'Tax Data 2026'!$C$7</f>
        <v>6689.1541</v>
      </c>
    </row>
    <row r="27" customFormat="false" ht="15" hidden="false" customHeight="false" outlineLevel="0" collapsed="false">
      <c r="A27" s="4" t="s">
        <v>68</v>
      </c>
      <c r="B27" s="19" t="n">
        <f aca="false">MAX(0,MIN(B$22,'Tax Data 2026'!$B$8)-'Tax Data 2026'!$A$8)*'Tax Data 2026'!$C$8</f>
        <v>0</v>
      </c>
      <c r="C27" s="19" t="n">
        <f aca="false">MAX(0,MIN(C$22,'Tax Data 2026'!$B$8)-'Tax Data 2026'!$A$8)*'Tax Data 2026'!$C$8</f>
        <v>0</v>
      </c>
      <c r="D27" s="19" t="n">
        <f aca="false">MAX(0,MIN(D$22,'Tax Data 2026'!$B$8)-'Tax Data 2026'!$A$8)*'Tax Data 2026'!$C$8</f>
        <v>0</v>
      </c>
      <c r="E27" s="19" t="n">
        <f aca="false">MAX(0,MIN(E$22,'Tax Data 2026'!$B$8)-'Tax Data 2026'!$A$8)*'Tax Data 2026'!$C$8</f>
        <v>0</v>
      </c>
    </row>
    <row r="28" customFormat="false" ht="15" hidden="false" customHeight="false" outlineLevel="0" collapsed="false">
      <c r="A28" s="4" t="s">
        <v>69</v>
      </c>
      <c r="B28" s="19" t="n">
        <f aca="false">MAX(0,MIN(B$22,'Tax Data 2026'!$B$9)-'Tax Data 2026'!$A$9)*'Tax Data 2026'!$C$9</f>
        <v>0</v>
      </c>
      <c r="C28" s="19" t="n">
        <f aca="false">MAX(0,MIN(C$22,'Tax Data 2026'!$B$9)-'Tax Data 2026'!$A$9)*'Tax Data 2026'!$C$9</f>
        <v>0</v>
      </c>
      <c r="D28" s="19" t="n">
        <f aca="false">MAX(0,MIN(D$22,'Tax Data 2026'!$B$9)-'Tax Data 2026'!$A$9)*'Tax Data 2026'!$C$9</f>
        <v>0</v>
      </c>
      <c r="E28" s="19" t="n">
        <f aca="false">MAX(0,MIN(E$22,'Tax Data 2026'!$B$9)-'Tax Data 2026'!$A$9)*'Tax Data 2026'!$C$9</f>
        <v>0</v>
      </c>
    </row>
    <row r="29" customFormat="false" ht="15" hidden="false" customHeight="false" outlineLevel="0" collapsed="false">
      <c r="A29" s="4" t="s">
        <v>70</v>
      </c>
      <c r="B29" s="19" t="n">
        <f aca="false">MAX(0,MIN(B$22,'Tax Data 2026'!$B$10)-'Tax Data 2026'!$A$10)*'Tax Data 2026'!$C$10</f>
        <v>0</v>
      </c>
      <c r="C29" s="19" t="n">
        <f aca="false">MAX(0,MIN(C$22,'Tax Data 2026'!$B$10)-'Tax Data 2026'!$A$10)*'Tax Data 2026'!$C$10</f>
        <v>0</v>
      </c>
      <c r="D29" s="19" t="n">
        <f aca="false">MAX(0,MIN(D$22,'Tax Data 2026'!$B$10)-'Tax Data 2026'!$A$10)*'Tax Data 2026'!$C$10</f>
        <v>0</v>
      </c>
      <c r="E29" s="19" t="n">
        <f aca="false">MAX(0,MIN(E$22,'Tax Data 2026'!$B$10)-'Tax Data 2026'!$A$10)*'Tax Data 2026'!$C$10</f>
        <v>0</v>
      </c>
    </row>
    <row r="30" customFormat="false" ht="15" hidden="false" customHeight="false" outlineLevel="0" collapsed="false">
      <c r="A30" s="4" t="s">
        <v>71</v>
      </c>
      <c r="B30" s="19" t="n">
        <f aca="false">SUM(B25:B29)</f>
        <v>6406.4</v>
      </c>
      <c r="C30" s="19" t="n">
        <f aca="false">SUM(C25:C29)</f>
        <v>7397.21675</v>
      </c>
      <c r="D30" s="19" t="n">
        <f aca="false">SUM(D25:D29)</f>
        <v>9919.6813125</v>
      </c>
      <c r="E30" s="19" t="n">
        <f aca="false">SUM(E25:E29)</f>
        <v>14882.3741</v>
      </c>
    </row>
    <row r="31" customFormat="false" ht="15" hidden="false" customHeight="false" outlineLevel="0" collapsed="false">
      <c r="A31" s="4" t="s">
        <v>72</v>
      </c>
      <c r="B31" s="19" t="n">
        <f aca="false">-0.14*('Tax Data 2026'!$B$22+'Tax Data 2026'!$B$24+B15+B16+0.5*B17)</f>
        <v>-2969.73012</v>
      </c>
      <c r="C31" s="19" t="n">
        <f aca="false">-0.14*('Tax Data 2026'!$B$22+'Tax Data 2026'!$B$24+C15+C16+0.5*C17)</f>
        <v>-3032.41337</v>
      </c>
      <c r="D31" s="19" t="n">
        <f aca="false">-0.14*('Tax Data 2026'!$B$22+'Tax Data 2026'!$B$24+D15+D16+0.5*D17)</f>
        <v>-3157.36337</v>
      </c>
      <c r="E31" s="19" t="n">
        <f aca="false">-0.14*('Tax Data 2026'!$B$22+'Tax Data 2026'!$B$24+E15+E16+0.5*E17)</f>
        <v>-3209.96732</v>
      </c>
    </row>
    <row r="32" customFormat="false" ht="15" hidden="false" customHeight="false" outlineLevel="0" collapsed="false">
      <c r="A32" s="3" t="s">
        <v>73</v>
      </c>
      <c r="B32" s="20" t="n">
        <f aca="false">MAX(0,B30+B31)</f>
        <v>3436.66988</v>
      </c>
      <c r="C32" s="20" t="n">
        <f aca="false">MAX(0,C30+C31)</f>
        <v>4364.80338</v>
      </c>
      <c r="D32" s="20" t="n">
        <f aca="false">MAX(0,D30+D31)</f>
        <v>6762.3179425</v>
      </c>
      <c r="E32" s="20" t="n">
        <f aca="false">MAX(0,E30+E31)</f>
        <v>11672.40678</v>
      </c>
    </row>
    <row r="34" customFormat="false" ht="15" hidden="false" customHeight="false" outlineLevel="0" collapsed="false">
      <c r="A34" s="11" t="s">
        <v>74</v>
      </c>
      <c r="B34" s="12"/>
      <c r="C34" s="12"/>
      <c r="D34" s="12"/>
      <c r="E34" s="12"/>
    </row>
    <row r="35" customFormat="false" ht="15" hidden="false" customHeight="false" outlineLevel="0" collapsed="false">
      <c r="A35" s="4" t="s">
        <v>66</v>
      </c>
      <c r="B35" s="19" t="n">
        <f aca="false">MAX(0,MIN(B$22,'Tax Data 2026'!$B$14)-'Tax Data 2026'!$A$14)*'Tax Data 2026'!$C$14</f>
        <v>3660.8</v>
      </c>
      <c r="C35" s="19" t="n">
        <f aca="false">MAX(0,MIN(C$22,'Tax Data 2026'!$B$14)-'Tax Data 2026'!$A$14)*'Tax Data 2026'!$C$14</f>
        <v>4226.981</v>
      </c>
      <c r="D35" s="19" t="n">
        <f aca="false">MAX(0,MIN(D$22,'Tax Data 2026'!$B$14)-'Tax Data 2026'!$A$14)*'Tax Data 2026'!$C$14</f>
        <v>4896</v>
      </c>
      <c r="E35" s="19" t="n">
        <f aca="false">MAX(0,MIN(E$22,'Tax Data 2026'!$B$14)-'Tax Data 2026'!$A$14)*'Tax Data 2026'!$C$14</f>
        <v>4896</v>
      </c>
    </row>
    <row r="36" customFormat="false" ht="15" hidden="false" customHeight="false" outlineLevel="0" collapsed="false">
      <c r="A36" s="4" t="s">
        <v>67</v>
      </c>
      <c r="B36" s="19" t="n">
        <f aca="false">MAX(0,MIN(B$22,'Tax Data 2026'!$B$15)-'Tax Data 2026'!$A$15)*'Tax Data 2026'!$C$15</f>
        <v>0</v>
      </c>
      <c r="C36" s="19" t="n">
        <f aca="false">MAX(0,MIN(C$22,'Tax Data 2026'!$B$15)-'Tax Data 2026'!$A$15)*'Tax Data 2026'!$C$15</f>
        <v>0</v>
      </c>
      <c r="D36" s="19" t="n">
        <f aca="false">MAX(0,MIN(D$22,'Tax Data 2026'!$B$15)-'Tax Data 2026'!$A$15)*'Tax Data 2026'!$C$15</f>
        <v>574.47625</v>
      </c>
      <c r="E36" s="19" t="n">
        <f aca="false">MAX(0,MIN(E$22,'Tax Data 2026'!$B$15)-'Tax Data 2026'!$A$15)*'Tax Data 2026'!$C$15</f>
        <v>2995.302</v>
      </c>
    </row>
    <row r="37" customFormat="false" ht="15" hidden="false" customHeight="false" outlineLevel="0" collapsed="false">
      <c r="A37" s="4" t="s">
        <v>68</v>
      </c>
      <c r="B37" s="19" t="n">
        <f aca="false">MAX(0,MIN(B$22,'Tax Data 2026'!$B$16)-'Tax Data 2026'!$A$16)*'Tax Data 2026'!$C$16</f>
        <v>0</v>
      </c>
      <c r="C37" s="19" t="n">
        <f aca="false">MAX(0,MIN(C$22,'Tax Data 2026'!$B$16)-'Tax Data 2026'!$A$16)*'Tax Data 2026'!$C$16</f>
        <v>0</v>
      </c>
      <c r="D37" s="19" t="n">
        <f aca="false">MAX(0,MIN(D$22,'Tax Data 2026'!$B$16)-'Tax Data 2026'!$A$16)*'Tax Data 2026'!$C$16</f>
        <v>0</v>
      </c>
      <c r="E37" s="19" t="n">
        <f aca="false">MAX(0,MIN(E$22,'Tax Data 2026'!$B$16)-'Tax Data 2026'!$A$16)*'Tax Data 2026'!$C$16</f>
        <v>0</v>
      </c>
    </row>
    <row r="38" customFormat="false" ht="15" hidden="false" customHeight="false" outlineLevel="0" collapsed="false">
      <c r="A38" s="4" t="s">
        <v>69</v>
      </c>
      <c r="B38" s="19" t="n">
        <f aca="false">MAX(0,MIN(B$22,'Tax Data 2026'!$B$17)-'Tax Data 2026'!$A$17)*'Tax Data 2026'!$C$17</f>
        <v>0</v>
      </c>
      <c r="C38" s="19" t="n">
        <f aca="false">MAX(0,MIN(C$22,'Tax Data 2026'!$B$17)-'Tax Data 2026'!$A$17)*'Tax Data 2026'!$C$17</f>
        <v>0</v>
      </c>
      <c r="D38" s="19" t="n">
        <f aca="false">MAX(0,MIN(D$22,'Tax Data 2026'!$B$17)-'Tax Data 2026'!$A$17)*'Tax Data 2026'!$C$17</f>
        <v>0</v>
      </c>
      <c r="E38" s="19" t="n">
        <f aca="false">MAX(0,MIN(E$22,'Tax Data 2026'!$B$17)-'Tax Data 2026'!$A$17)*'Tax Data 2026'!$C$17</f>
        <v>0</v>
      </c>
    </row>
    <row r="39" customFormat="false" ht="15" hidden="false" customHeight="false" outlineLevel="0" collapsed="false">
      <c r="A39" s="4" t="s">
        <v>70</v>
      </c>
      <c r="B39" s="19" t="n">
        <f aca="false">MAX(0,MIN(B$22,'Tax Data 2026'!$B$18)-'Tax Data 2026'!$A$18)*'Tax Data 2026'!$C$18</f>
        <v>0</v>
      </c>
      <c r="C39" s="19" t="n">
        <f aca="false">MAX(0,MIN(C$22,'Tax Data 2026'!$B$18)-'Tax Data 2026'!$A$18)*'Tax Data 2026'!$C$18</f>
        <v>0</v>
      </c>
      <c r="D39" s="19" t="n">
        <f aca="false">MAX(0,MIN(D$22,'Tax Data 2026'!$B$18)-'Tax Data 2026'!$A$18)*'Tax Data 2026'!$C$18</f>
        <v>0</v>
      </c>
      <c r="E39" s="19" t="n">
        <f aca="false">MAX(0,MIN(E$22,'Tax Data 2026'!$B$18)-'Tax Data 2026'!$A$18)*'Tax Data 2026'!$C$18</f>
        <v>0</v>
      </c>
    </row>
    <row r="40" customFormat="false" ht="15" hidden="false" customHeight="false" outlineLevel="0" collapsed="false">
      <c r="A40" s="4" t="s">
        <v>75</v>
      </c>
      <c r="B40" s="19" t="n">
        <f aca="false">MAX(0,MIN(B$22,'Tax Data 2026'!$B$19)-'Tax Data 2026'!$A$19)*'Tax Data 2026'!$C$19</f>
        <v>0</v>
      </c>
      <c r="C40" s="19" t="n">
        <f aca="false">MAX(0,MIN(C$22,'Tax Data 2026'!$B$19)-'Tax Data 2026'!$A$19)*'Tax Data 2026'!$C$19</f>
        <v>0</v>
      </c>
      <c r="D40" s="19" t="n">
        <f aca="false">MAX(0,MIN(D$22,'Tax Data 2026'!$B$19)-'Tax Data 2026'!$A$19)*'Tax Data 2026'!$C$19</f>
        <v>0</v>
      </c>
      <c r="E40" s="19" t="n">
        <f aca="false">MAX(0,MIN(E$22,'Tax Data 2026'!$B$19)-'Tax Data 2026'!$A$19)*'Tax Data 2026'!$C$19</f>
        <v>0</v>
      </c>
    </row>
    <row r="41" customFormat="false" ht="15" hidden="false" customHeight="false" outlineLevel="0" collapsed="false">
      <c r="A41" s="4" t="s">
        <v>76</v>
      </c>
      <c r="B41" s="19" t="n">
        <f aca="false">SUM(B35:B40)</f>
        <v>3660.8</v>
      </c>
      <c r="C41" s="19" t="n">
        <f aca="false">SUM(C35:C40)</f>
        <v>4226.981</v>
      </c>
      <c r="D41" s="19" t="n">
        <f aca="false">SUM(D35:D40)</f>
        <v>5470.47625</v>
      </c>
      <c r="E41" s="19" t="n">
        <f aca="false">SUM(E35:E40)</f>
        <v>7891.302</v>
      </c>
    </row>
    <row r="42" customFormat="false" ht="15" hidden="false" customHeight="false" outlineLevel="0" collapsed="false">
      <c r="A42" s="4" t="s">
        <v>77</v>
      </c>
      <c r="B42" s="19" t="n">
        <f aca="false">-0.08*('Tax Data 2026'!$B$23+B15+B16+0.5*B17)</f>
        <v>-2082.34864</v>
      </c>
      <c r="C42" s="19" t="n">
        <f aca="false">-0.08*('Tax Data 2026'!$B$23+C15+C16+0.5*C17)</f>
        <v>-2118.16764</v>
      </c>
      <c r="D42" s="19" t="n">
        <f aca="false">-0.08*('Tax Data 2026'!$B$23+D15+D16+0.5*D17)</f>
        <v>-2189.56764</v>
      </c>
      <c r="E42" s="19" t="n">
        <f aca="false">-0.08*('Tax Data 2026'!$B$23+E15+E16+0.5*E17)</f>
        <v>-2219.62704</v>
      </c>
    </row>
    <row r="43" customFormat="false" ht="15" hidden="false" customHeight="false" outlineLevel="0" collapsed="false">
      <c r="A43" s="3" t="s">
        <v>78</v>
      </c>
      <c r="B43" s="20" t="n">
        <f aca="false">MAX(0,B41+B42)</f>
        <v>1578.45136</v>
      </c>
      <c r="C43" s="20" t="n">
        <f aca="false">MAX(0,C41+C42)</f>
        <v>2108.81336</v>
      </c>
      <c r="D43" s="20" t="n">
        <f aca="false">MAX(0,D41+D42)</f>
        <v>3280.90861</v>
      </c>
      <c r="E43" s="20" t="n">
        <f aca="false">MAX(0,E41+E42)</f>
        <v>5671.67496</v>
      </c>
    </row>
    <row r="45" customFormat="false" ht="15" hidden="false" customHeight="false" outlineLevel="0" collapsed="false">
      <c r="A45" s="11" t="s">
        <v>79</v>
      </c>
      <c r="B45" s="12"/>
      <c r="C45" s="12"/>
      <c r="D45" s="12"/>
      <c r="E45" s="12"/>
    </row>
    <row r="46" customFormat="false" ht="15" hidden="false" customHeight="false" outlineLevel="0" collapsed="false">
      <c r="A46" s="3" t="s">
        <v>80</v>
      </c>
      <c r="B46" s="21" t="n">
        <f aca="false">B32+B43</f>
        <v>5015.12124</v>
      </c>
      <c r="C46" s="21" t="n">
        <f aca="false">C32+C43</f>
        <v>6473.61674</v>
      </c>
      <c r="D46" s="21" t="n">
        <f aca="false">D32+D43</f>
        <v>10043.2265525</v>
      </c>
      <c r="E46" s="21" t="n">
        <f aca="false">E32+E43</f>
        <v>17344.08174</v>
      </c>
    </row>
    <row r="47" customFormat="false" ht="15" hidden="false" customHeight="false" outlineLevel="0" collapsed="false">
      <c r="A47" s="3" t="s">
        <v>81</v>
      </c>
      <c r="B47" s="21" t="n">
        <f aca="false">B46+B15+B16+B17+B18</f>
        <v>8275.47924</v>
      </c>
      <c r="C47" s="21" t="n">
        <f aca="false">C46+C15+C16+C17+C18</f>
        <v>10629.44974</v>
      </c>
      <c r="D47" s="21" t="n">
        <f aca="false">D46+D15+D16+D17+D18</f>
        <v>15984.0595525</v>
      </c>
      <c r="E47" s="21" t="n">
        <f aca="false">E46+E15+E16+E17+E18</f>
        <v>24868.39974</v>
      </c>
    </row>
    <row r="48" customFormat="false" ht="15" hidden="false" customHeight="false" outlineLevel="0" collapsed="false">
      <c r="A48" s="3" t="s">
        <v>82</v>
      </c>
      <c r="B48" s="17" t="n">
        <f aca="false">B12-B47</f>
        <v>37484.52076</v>
      </c>
      <c r="C48" s="17" t="n">
        <f aca="false">C12-C47</f>
        <v>42655.55026</v>
      </c>
      <c r="D48" s="17" t="n">
        <f aca="false">D12-D47</f>
        <v>52300.9404475</v>
      </c>
      <c r="E48" s="17" t="n">
        <f aca="false">E12-E47</f>
        <v>68416.60026</v>
      </c>
    </row>
    <row r="49" customFormat="false" ht="15" hidden="false" customHeight="false" outlineLevel="0" collapsed="false">
      <c r="A49" s="4" t="s">
        <v>83</v>
      </c>
      <c r="B49" s="10" t="n">
        <f aca="false">IF(B12=0,0,B47/B12)</f>
        <v>0.180845263111888</v>
      </c>
      <c r="C49" s="10" t="n">
        <f aca="false">IF(C12=0,0,C47/C12)</f>
        <v>0.19948296406118</v>
      </c>
      <c r="D49" s="10" t="n">
        <f aca="false">IF(D12=0,0,D47/D12)</f>
        <v>0.234078634436553</v>
      </c>
      <c r="E49" s="10" t="n">
        <f aca="false">IF(E12=0,0,E47/E12)</f>
        <v>0.266585193117865</v>
      </c>
    </row>
    <row r="51" customFormat="false" ht="15" hidden="false" customHeight="false" outlineLevel="0" collapsed="false">
      <c r="A51" s="4" t="s">
        <v>84</v>
      </c>
      <c r="B51" s="19"/>
      <c r="C51" s="19" t="n">
        <f aca="false">C47-$B$47</f>
        <v>2353.9705</v>
      </c>
      <c r="D51" s="19" t="n">
        <f aca="false">D47-$B$47</f>
        <v>7708.5803125</v>
      </c>
      <c r="E51" s="19" t="n">
        <f aca="false">E47-$B$47</f>
        <v>16592.9205</v>
      </c>
    </row>
    <row r="52" customFormat="false" ht="15" hidden="false" customHeight="false" outlineLevel="0" collapsed="false">
      <c r="A52" s="3" t="s">
        <v>85</v>
      </c>
      <c r="B52" s="22"/>
      <c r="C52" s="22" t="n">
        <f aca="false">IF(C7=0,0,C51/C7)</f>
        <v>0.23539705</v>
      </c>
      <c r="D52" s="22" t="n">
        <f aca="false">IF(D7=0,0,D51/D7)</f>
        <v>0.3083432125</v>
      </c>
      <c r="E52" s="22" t="n">
        <f aca="false">IF(E7=0,0,E51/E7)</f>
        <v>0.33185841</v>
      </c>
    </row>
    <row r="53" customFormat="false" ht="15" hidden="false" customHeight="false" outlineLevel="0" collapsed="false">
      <c r="A53" s="4" t="s">
        <v>86</v>
      </c>
      <c r="B53" s="9"/>
      <c r="C53" s="9" t="n">
        <f aca="false">C52*100</f>
        <v>23.539705</v>
      </c>
      <c r="D53" s="9" t="n">
        <f aca="false">D52*100</f>
        <v>30.83432125</v>
      </c>
      <c r="E53" s="9" t="n">
        <f aca="false">E52*100</f>
        <v>33.185841</v>
      </c>
    </row>
    <row r="55" customFormat="false" ht="15" hidden="false" customHeight="true" outlineLevel="0" collapsed="false">
      <c r="A55" s="23" t="s">
        <v>87</v>
      </c>
      <c r="B55" s="23"/>
      <c r="C55" s="23"/>
      <c r="D55" s="23"/>
      <c r="E55" s="23"/>
    </row>
    <row r="56" customFormat="false" ht="15" hidden="false" customHeight="false" outlineLevel="0" collapsed="false">
      <c r="A56" s="23"/>
      <c r="B56" s="23"/>
      <c r="C56" s="23"/>
      <c r="D56" s="23"/>
      <c r="E56" s="23"/>
    </row>
    <row r="57" customFormat="false" ht="15" hidden="false" customHeight="false" outlineLevel="0" collapsed="false">
      <c r="A57" s="23"/>
      <c r="B57" s="23"/>
      <c r="C57" s="23"/>
      <c r="D57" s="23"/>
      <c r="E57" s="23"/>
    </row>
  </sheetData>
  <mergeCells count="1">
    <mergeCell ref="A55:E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2026-08-18T03:39:39Z</dcterms:created>
  <dc:creator>openpyxl</dc:creator>
  <dc:description/>
  <dc:language>en-US</dc:language>
  <cp:lastModifiedBy/>
  <dcterms:modified xsi:type="dcterms:W3CDTF">2026-08-18T03:39:39Z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